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Metrics/"/>
    </mc:Choice>
  </mc:AlternateContent>
  <xr:revisionPtr revIDLastSave="9" documentId="13_ncr:1_{9B12405A-E811-4AF6-99FE-4D99CF93FFE5}" xr6:coauthVersionLast="47" xr6:coauthVersionMax="47" xr10:uidLastSave="{30E61C2F-FEA3-4524-8348-A6E8F93C973E}"/>
  <bookViews>
    <workbookView minimized="1" xWindow="4290" yWindow="4560" windowWidth="21600" windowHeight="11385" tabRatio="846" activeTab="1" xr2:uid="{72DB8043-9B22-441A-BCD0-4EB4CA42FDB6}"/>
  </bookViews>
  <sheets>
    <sheet name="Human vs AI v1" sheetId="1" r:id="rId1"/>
    <sheet name="Human vs AI v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9" i="1" l="1"/>
  <c r="H9" i="1"/>
  <c r="H18" i="1"/>
  <c r="N18" i="1"/>
  <c r="T18" i="1"/>
  <c r="T9" i="1"/>
</calcChain>
</file>

<file path=xl/sharedStrings.xml><?xml version="1.0" encoding="utf-8"?>
<sst xmlns="http://schemas.openxmlformats.org/spreadsheetml/2006/main" count="73" uniqueCount="18">
  <si>
    <t>NMAP</t>
  </si>
  <si>
    <t>FOREMOST</t>
  </si>
  <si>
    <t>WIRESHARK</t>
  </si>
  <si>
    <t>HUMAN</t>
  </si>
  <si>
    <t>AI</t>
  </si>
  <si>
    <t>Total</t>
  </si>
  <si>
    <t>(Minutes)</t>
  </si>
  <si>
    <t>Same as v1 only this version does not include totals to allow for different reports to be generated</t>
  </si>
  <si>
    <t xml:space="preserve">SOITNetworkScan.xml </t>
  </si>
  <si>
    <t xml:space="preserve">Eight.dd </t>
  </si>
  <si>
    <t>Nine.dd</t>
  </si>
  <si>
    <t>Three.dd</t>
  </si>
  <si>
    <t>Evidence03.pcap</t>
  </si>
  <si>
    <t>Evidence02.pcap</t>
  </si>
  <si>
    <t>Evidence01.pcap</t>
  </si>
  <si>
    <t>28sepServiceScan.xml</t>
  </si>
  <si>
    <t>nmap_example.xml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</si>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</sst>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1" xfId="0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0" borderId="1" xfId="0" applyFont="1" applyBorder="1"/>
    <xf numFmtId="0" fontId="0" fillId="4" borderId="1" xfId="0" applyFill="1" applyBorder="1"/>
    <xf numFmtId="0" fontId="1" fillId="3" borderId="1" xfId="0" applyFont="1" applyFill="1" applyBorder="1" applyAlignment="1">
      <alignment horizontal="right"/>
    </xf>
    <xf numFmtId="0" fontId="0" fillId="2" borderId="2" xfId="0" applyFill="1" applyBorder="1"/>
    <xf numFmtId="0" fontId="1" fillId="2" borderId="0" xfId="0" applyFont="1" applyFill="1"/>
    <xf numFmtId="0" fontId="1" fillId="2" borderId="3" xfId="0" applyFont="1" applyFill="1" applyBorder="1"/>
    <xf numFmtId="0" fontId="0" fillId="2" borderId="3" xfId="0" applyFill="1" applyBorder="1"/>
    <xf numFmtId="0" fontId="1" fillId="4" borderId="4" xfId="0" applyFont="1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NMAP - HUMAN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'Human vs AI v1'!$H$3:$H$5</c:f>
              <c:strCache>
                <c:ptCount val="3"/>
                <c:pt idx="0">
                  <c:v>HUMAN</c:v>
                </c:pt>
                <c:pt idx="2">
                  <c:v>NMAP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'Human vs AI v1'!$D$6:$D$8</c:f>
              <c:strCache>
                <c:ptCount val="3"/>
                <c:pt idx="0">
                  <c:v>SOITNetworkScan.xml </c:v>
                </c:pt>
                <c:pt idx="1">
                  <c:v>28sepServiceScan.xml</c:v>
                </c:pt>
                <c:pt idx="2">
                  <c:v>nmap_example.xml</c:v>
                </c:pt>
              </c:strCache>
            </c:strRef>
          </c:cat>
          <c:val>
            <c:numRef>
              <c:f>'Human vs AI v1'!$H$6:$H$8</c:f>
              <c:numCache>
                <c:formatCode>General</c:formatCode>
                <c:ptCount val="3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1-4F56-B0C0-4F87F3FFDE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2007888"/>
        <c:axId val="1010476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'Human vs AI v1'!$E$3:$E$5</c15:sqref>
                        </c15:formulaRef>
                      </c:ext>
                    </c:extLst>
                    <c:strCache>
                      <c:ptCount val="3"/>
                      <c:pt idx="0">
                        <c:v>HUMAN</c:v>
                      </c:pt>
                      <c:pt idx="2">
                        <c:v>NMAP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'Human vs AI v1'!$D$6:$D$8</c15:sqref>
                        </c15:formulaRef>
                      </c:ext>
                    </c:extLst>
                    <c:strCache>
                      <c:ptCount val="3"/>
                      <c:pt idx="0">
                        <c:v>SOITNetworkScan.xml </c:v>
                      </c:pt>
                      <c:pt idx="1">
                        <c:v>28sepServiceScan.xml</c:v>
                      </c:pt>
                      <c:pt idx="2">
                        <c:v>nmap_example.xml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'Human vs AI v1'!$E$6:$E$8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4F1-4F56-B0C0-4F87F3FFDEA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v1'!$F$3:$F$5</c15:sqref>
                        </c15:formulaRef>
                      </c:ext>
                    </c:extLst>
                    <c:strCache>
                      <c:ptCount val="3"/>
                      <c:pt idx="0">
                        <c:v>HUMAN</c:v>
                      </c:pt>
                      <c:pt idx="2">
                        <c:v>NMAP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v1'!$D$6:$D$8</c15:sqref>
                        </c15:formulaRef>
                      </c:ext>
                    </c:extLst>
                    <c:strCache>
                      <c:ptCount val="3"/>
                      <c:pt idx="0">
                        <c:v>SOITNetworkScan.xml </c:v>
                      </c:pt>
                      <c:pt idx="1">
                        <c:v>28sepServiceScan.xml</c:v>
                      </c:pt>
                      <c:pt idx="2">
                        <c:v>nmap_example.xml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v1'!$F$6:$F$8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F1-4F56-B0C0-4F87F3FFDEA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v1'!$G$3:$G$5</c15:sqref>
                        </c15:formulaRef>
                      </c:ext>
                    </c:extLst>
                    <c:strCache>
                      <c:ptCount val="3"/>
                      <c:pt idx="0">
                        <c:v>HUMAN</c:v>
                      </c:pt>
                      <c:pt idx="2">
                        <c:v>NMAP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v1'!$D$6:$D$8</c15:sqref>
                        </c15:formulaRef>
                      </c:ext>
                    </c:extLst>
                    <c:strCache>
                      <c:ptCount val="3"/>
                      <c:pt idx="0">
                        <c:v>SOITNetworkScan.xml </c:v>
                      </c:pt>
                      <c:pt idx="1">
                        <c:v>28sepServiceScan.xml</c:v>
                      </c:pt>
                      <c:pt idx="2">
                        <c:v>nmap_example.xml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v1'!$G$6:$G$8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F1-4F56-B0C0-4F87F3FFDEAA}"/>
                  </c:ext>
                </c:extLst>
              </c15:ser>
            </c15:filteredBarSeries>
          </c:ext>
        </c:extLst>
      </c:barChart>
      <c:catAx>
        <c:axId val="121200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REPORTS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76208"/>
        <c:crosses val="autoZero"/>
        <c:auto val="1"/>
        <c:lblAlgn val="ctr"/>
        <c:lblOffset val="100"/>
        <c:noMultiLvlLbl val="0"/>
      </c:catAx>
      <c:valAx>
        <c:axId val="10104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TAKEN (MINUTES)</a:t>
                </a:r>
              </a:p>
            </c:rich>
          </c:tx>
          <c:layout>
            <c:manualLayout>
              <c:xMode val="edge"/>
              <c:yMode val="edge"/>
              <c:x val="1.8629407850964737E-2"/>
              <c:y val="0.30201771653543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0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noFill/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NMAP - AI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noFill/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'Human vs AI v1'!$H$12:$H$14</c:f>
              <c:strCache>
                <c:ptCount val="3"/>
                <c:pt idx="0">
                  <c:v>AI</c:v>
                </c:pt>
                <c:pt idx="2">
                  <c:v>(Minutes)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'Human vs AI v1'!$D$15:$D$17</c:f>
              <c:strCache>
                <c:ptCount val="3"/>
                <c:pt idx="0">
                  <c:v>SOITNetworkScan.xml </c:v>
                </c:pt>
                <c:pt idx="1">
                  <c:v>28sepServiceScan.xml</c:v>
                </c:pt>
                <c:pt idx="2">
                  <c:v>nmap_example.xml</c:v>
                </c:pt>
              </c:strCache>
            </c:strRef>
          </c:cat>
          <c:val>
            <c:numRef>
              <c:f>'Human vs AI v1'!$H$15:$H$17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46-4439-B517-7A11BFA4E6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6109471"/>
        <c:axId val="10104368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'Human vs AI v1'!$E$12:$E$14</c15:sqref>
                        </c15:formulaRef>
                      </c:ext>
                    </c:extLst>
                    <c:strCache>
                      <c:ptCount val="3"/>
                      <c:pt idx="0">
                        <c:v>AI</c:v>
                      </c:pt>
                      <c:pt idx="2">
                        <c:v>NMAP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ln>
                            <a:noFill/>
                          </a:ln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'Human vs AI v1'!$D$15:$D$17</c15:sqref>
                        </c15:formulaRef>
                      </c:ext>
                    </c:extLst>
                    <c:strCache>
                      <c:ptCount val="3"/>
                      <c:pt idx="0">
                        <c:v>SOITNetworkScan.xml </c:v>
                      </c:pt>
                      <c:pt idx="1">
                        <c:v>28sepServiceScan.xml</c:v>
                      </c:pt>
                      <c:pt idx="2">
                        <c:v>nmap_example.xml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'Human vs AI v1'!$E$15:$E$17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546-4439-B517-7A11BFA4E66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v1'!$F$12:$F$14</c15:sqref>
                        </c15:formulaRef>
                      </c:ext>
                    </c:extLst>
                    <c:strCache>
                      <c:ptCount val="3"/>
                      <c:pt idx="0">
                        <c:v>AI</c:v>
                      </c:pt>
                      <c:pt idx="2">
                        <c:v>NMAP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ln>
                            <a:noFill/>
                          </a:ln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v1'!$D$15:$D$17</c15:sqref>
                        </c15:formulaRef>
                      </c:ext>
                    </c:extLst>
                    <c:strCache>
                      <c:ptCount val="3"/>
                      <c:pt idx="0">
                        <c:v>SOITNetworkScan.xml </c:v>
                      </c:pt>
                      <c:pt idx="1">
                        <c:v>28sepServiceScan.xml</c:v>
                      </c:pt>
                      <c:pt idx="2">
                        <c:v>nmap_example.xml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v1'!$F$15:$F$17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546-4439-B517-7A11BFA4E66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v1'!$G$12:$G$14</c15:sqref>
                        </c15:formulaRef>
                      </c:ext>
                    </c:extLst>
                    <c:strCache>
                      <c:ptCount val="3"/>
                      <c:pt idx="0">
                        <c:v>AI</c:v>
                      </c:pt>
                      <c:pt idx="2">
                        <c:v>NMAP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ln>
                            <a:noFill/>
                          </a:ln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v1'!$D$15:$D$17</c15:sqref>
                        </c15:formulaRef>
                      </c:ext>
                    </c:extLst>
                    <c:strCache>
                      <c:ptCount val="3"/>
                      <c:pt idx="0">
                        <c:v>SOITNetworkScan.xml </c:v>
                      </c:pt>
                      <c:pt idx="1">
                        <c:v>28sepServiceScan.xml</c:v>
                      </c:pt>
                      <c:pt idx="2">
                        <c:v>nmap_example.xml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v1'!$G$15:$G$17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546-4439-B517-7A11BFA4E668}"/>
                  </c:ext>
                </c:extLst>
              </c15:ser>
            </c15:filteredBarSeries>
          </c:ext>
        </c:extLst>
      </c:barChart>
      <c:catAx>
        <c:axId val="1716109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REPORTS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ln>
                    <a:noFill/>
                  </a:ln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36848"/>
        <c:crosses val="autoZero"/>
        <c:auto val="1"/>
        <c:lblAlgn val="ctr"/>
        <c:lblOffset val="100"/>
        <c:noMultiLvlLbl val="0"/>
      </c:catAx>
      <c:valAx>
        <c:axId val="101043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TAKEN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ln>
                    <a:noFill/>
                  </a:ln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10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FOREMOST -</a:t>
            </a:r>
            <a:r>
              <a:rPr lang="en-US" baseline="0"/>
              <a:t> </a:t>
            </a:r>
            <a:r>
              <a:rPr lang="en-US"/>
              <a:t>HUMAN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'Human vs AI v1'!$N$3:$N$5</c:f>
              <c:strCache>
                <c:ptCount val="3"/>
                <c:pt idx="0">
                  <c:v>HUMAN</c:v>
                </c:pt>
                <c:pt idx="2">
                  <c:v>FOREMOST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'Human vs AI v1'!$J$6:$J$8</c:f>
              <c:strCache>
                <c:ptCount val="3"/>
                <c:pt idx="0">
                  <c:v>Eight.dd </c:v>
                </c:pt>
                <c:pt idx="1">
                  <c:v>Nine.dd</c:v>
                </c:pt>
                <c:pt idx="2">
                  <c:v>Three.dd</c:v>
                </c:pt>
              </c:strCache>
            </c:strRef>
          </c:cat>
          <c:val>
            <c:numRef>
              <c:f>'Human vs AI v1'!$N$6:$N$8</c:f>
              <c:numCache>
                <c:formatCode>General</c:formatCode>
                <c:ptCount val="3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C1-43E3-972E-89F01BC031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84871040"/>
        <c:axId val="10104464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'Human vs AI v1'!$K$3:$K$5</c15:sqref>
                        </c15:formulaRef>
                      </c:ext>
                    </c:extLst>
                    <c:strCache>
                      <c:ptCount val="3"/>
                      <c:pt idx="0">
                        <c:v>HUMAN</c:v>
                      </c:pt>
                      <c:pt idx="2">
                        <c:v>FOREMOST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'Human vs AI v1'!$J$6:$J$8</c15:sqref>
                        </c15:formulaRef>
                      </c:ext>
                    </c:extLst>
                    <c:strCache>
                      <c:ptCount val="3"/>
                      <c:pt idx="0">
                        <c:v>Eight.dd </c:v>
                      </c:pt>
                      <c:pt idx="1">
                        <c:v>Nine.dd</c:v>
                      </c:pt>
                      <c:pt idx="2">
                        <c:v>Three.dd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'Human vs AI v1'!$K$6:$K$8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0C1-43E3-972E-89F01BC031E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v1'!$L$3:$L$5</c15:sqref>
                        </c15:formulaRef>
                      </c:ext>
                    </c:extLst>
                    <c:strCache>
                      <c:ptCount val="3"/>
                      <c:pt idx="0">
                        <c:v>HUMAN</c:v>
                      </c:pt>
                      <c:pt idx="2">
                        <c:v>FOREMOST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v1'!$J$6:$J$8</c15:sqref>
                        </c15:formulaRef>
                      </c:ext>
                    </c:extLst>
                    <c:strCache>
                      <c:ptCount val="3"/>
                      <c:pt idx="0">
                        <c:v>Eight.dd </c:v>
                      </c:pt>
                      <c:pt idx="1">
                        <c:v>Nine.dd</c:v>
                      </c:pt>
                      <c:pt idx="2">
                        <c:v>Three.dd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v1'!$L$6:$L$8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0C1-43E3-972E-89F01BC031E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v1'!$M$3:$M$5</c15:sqref>
                        </c15:formulaRef>
                      </c:ext>
                    </c:extLst>
                    <c:strCache>
                      <c:ptCount val="3"/>
                      <c:pt idx="0">
                        <c:v>HUMAN</c:v>
                      </c:pt>
                      <c:pt idx="2">
                        <c:v>FOREMOST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v1'!$J$6:$J$8</c15:sqref>
                        </c15:formulaRef>
                      </c:ext>
                    </c:extLst>
                    <c:strCache>
                      <c:ptCount val="3"/>
                      <c:pt idx="0">
                        <c:v>Eight.dd </c:v>
                      </c:pt>
                      <c:pt idx="1">
                        <c:v>Nine.dd</c:v>
                      </c:pt>
                      <c:pt idx="2">
                        <c:v>Three.dd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v1'!$M$6:$M$8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0C1-43E3-972E-89F01BC031E3}"/>
                  </c:ext>
                </c:extLst>
              </c15:ser>
            </c15:filteredBarSeries>
          </c:ext>
        </c:extLst>
      </c:barChart>
      <c:catAx>
        <c:axId val="1184871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REPORTS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46448"/>
        <c:crosses val="autoZero"/>
        <c:auto val="1"/>
        <c:lblAlgn val="ctr"/>
        <c:lblOffset val="100"/>
        <c:noMultiLvlLbl val="0"/>
      </c:catAx>
      <c:valAx>
        <c:axId val="10104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TIME TAKEN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7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'Human vs AI v1'!$T$3:$T$5</c:f>
              <c:strCache>
                <c:ptCount val="3"/>
                <c:pt idx="0">
                  <c:v>HUMAN</c:v>
                </c:pt>
                <c:pt idx="2">
                  <c:v>WIRESHARK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'Human vs AI v1'!$P$6:$P$8</c:f>
              <c:strCache>
                <c:ptCount val="3"/>
                <c:pt idx="0">
                  <c:v>Evidence01.pcap</c:v>
                </c:pt>
                <c:pt idx="1">
                  <c:v>Evidence02.pcap</c:v>
                </c:pt>
                <c:pt idx="2">
                  <c:v>Evidence03.pcap</c:v>
                </c:pt>
              </c:strCache>
            </c:strRef>
          </c:cat>
          <c:val>
            <c:numRef>
              <c:f>'Human vs AI v1'!$T$6:$T$8</c:f>
              <c:numCache>
                <c:formatCode>General</c:formatCode>
                <c:ptCount val="3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4B-4DA1-833C-81FC260365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81894656"/>
        <c:axId val="10105597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'Human vs AI v1'!$Q$3:$Q$5</c15:sqref>
                        </c15:formulaRef>
                      </c:ext>
                    </c:extLst>
                    <c:strCache>
                      <c:ptCount val="3"/>
                      <c:pt idx="0">
                        <c:v>HUMAN</c:v>
                      </c:pt>
                      <c:pt idx="2">
                        <c:v>WIRESHARK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'Human vs AI v1'!$P$6:$P$8</c15:sqref>
                        </c15:formulaRef>
                      </c:ext>
                    </c:extLst>
                    <c:strCache>
                      <c:ptCount val="3"/>
                      <c:pt idx="0">
                        <c:v>Evidence01.pcap</c:v>
                      </c:pt>
                      <c:pt idx="1">
                        <c:v>Evidence02.pcap</c:v>
                      </c:pt>
                      <c:pt idx="2">
                        <c:v>Evidence03.pcap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'Human vs AI v1'!$Q$6:$Q$8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04B-4DA1-833C-81FC260365A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v1'!$R$3:$R$5</c15:sqref>
                        </c15:formulaRef>
                      </c:ext>
                    </c:extLst>
                    <c:strCache>
                      <c:ptCount val="3"/>
                      <c:pt idx="0">
                        <c:v>HUMAN</c:v>
                      </c:pt>
                      <c:pt idx="2">
                        <c:v>WIRESHARK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v1'!$P$6:$P$8</c15:sqref>
                        </c15:formulaRef>
                      </c:ext>
                    </c:extLst>
                    <c:strCache>
                      <c:ptCount val="3"/>
                      <c:pt idx="0">
                        <c:v>Evidence01.pcap</c:v>
                      </c:pt>
                      <c:pt idx="1">
                        <c:v>Evidence02.pcap</c:v>
                      </c:pt>
                      <c:pt idx="2">
                        <c:v>Evidence03.pcap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v1'!$R$6:$R$8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04B-4DA1-833C-81FC260365A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v1'!$S$3:$S$5</c15:sqref>
                        </c15:formulaRef>
                      </c:ext>
                    </c:extLst>
                    <c:strCache>
                      <c:ptCount val="3"/>
                      <c:pt idx="0">
                        <c:v>HUMAN</c:v>
                      </c:pt>
                      <c:pt idx="2">
                        <c:v>WIRESHARK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v1'!$P$6:$P$8</c15:sqref>
                        </c15:formulaRef>
                      </c:ext>
                    </c:extLst>
                    <c:strCache>
                      <c:ptCount val="3"/>
                      <c:pt idx="0">
                        <c:v>Evidence01.pcap</c:v>
                      </c:pt>
                      <c:pt idx="1">
                        <c:v>Evidence02.pcap</c:v>
                      </c:pt>
                      <c:pt idx="2">
                        <c:v>Evidence03.pcap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v1'!$S$6:$S$8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04B-4DA1-833C-81FC260365AB}"/>
                  </c:ext>
                </c:extLst>
              </c15:ser>
            </c15:filteredBarSeries>
          </c:ext>
        </c:extLst>
      </c:barChart>
      <c:catAx>
        <c:axId val="1181894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REPORTS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59728"/>
        <c:crosses val="autoZero"/>
        <c:auto val="1"/>
        <c:lblAlgn val="ctr"/>
        <c:lblOffset val="100"/>
        <c:noMultiLvlLbl val="0"/>
      </c:catAx>
      <c:valAx>
        <c:axId val="10105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Time taken (MINS)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9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FOREMOST - 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'Human vs AI v1'!$N$12:$N$14</c:f>
              <c:strCache>
                <c:ptCount val="3"/>
                <c:pt idx="0">
                  <c:v>AI</c:v>
                </c:pt>
                <c:pt idx="2">
                  <c:v>(Minutes)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'Human vs AI v1'!$J$15:$J$17</c:f>
              <c:strCache>
                <c:ptCount val="3"/>
                <c:pt idx="0">
                  <c:v>Eight.dd </c:v>
                </c:pt>
                <c:pt idx="1">
                  <c:v>Nine.dd</c:v>
                </c:pt>
                <c:pt idx="2">
                  <c:v>Three.dd</c:v>
                </c:pt>
              </c:strCache>
            </c:strRef>
          </c:cat>
          <c:val>
            <c:numRef>
              <c:f>'Human vs AI v1'!$N$15:$N$17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EC-4633-9D00-B520710C64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7352992"/>
        <c:axId val="10104382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'Human vs AI v1'!$K$12:$K$14</c15:sqref>
                        </c15:formulaRef>
                      </c:ext>
                    </c:extLst>
                    <c:strCache>
                      <c:ptCount val="3"/>
                      <c:pt idx="0">
                        <c:v>AI</c:v>
                      </c:pt>
                      <c:pt idx="2">
                        <c:v>FOREMOST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'Human vs AI v1'!$J$15:$J$17</c15:sqref>
                        </c15:formulaRef>
                      </c:ext>
                    </c:extLst>
                    <c:strCache>
                      <c:ptCount val="3"/>
                      <c:pt idx="0">
                        <c:v>Eight.dd </c:v>
                      </c:pt>
                      <c:pt idx="1">
                        <c:v>Nine.dd</c:v>
                      </c:pt>
                      <c:pt idx="2">
                        <c:v>Three.dd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'Human vs AI v1'!$K$15:$K$17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1EC-4633-9D00-B520710C645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v1'!$L$12:$L$14</c15:sqref>
                        </c15:formulaRef>
                      </c:ext>
                    </c:extLst>
                    <c:strCache>
                      <c:ptCount val="3"/>
                      <c:pt idx="0">
                        <c:v>AI</c:v>
                      </c:pt>
                      <c:pt idx="2">
                        <c:v>FOREMOST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v1'!$J$15:$J$17</c15:sqref>
                        </c15:formulaRef>
                      </c:ext>
                    </c:extLst>
                    <c:strCache>
                      <c:ptCount val="3"/>
                      <c:pt idx="0">
                        <c:v>Eight.dd </c:v>
                      </c:pt>
                      <c:pt idx="1">
                        <c:v>Nine.dd</c:v>
                      </c:pt>
                      <c:pt idx="2">
                        <c:v>Three.dd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v1'!$L$15:$L$17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1EC-4633-9D00-B520710C645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v1'!$M$12:$M$14</c15:sqref>
                        </c15:formulaRef>
                      </c:ext>
                    </c:extLst>
                    <c:strCache>
                      <c:ptCount val="3"/>
                      <c:pt idx="0">
                        <c:v>AI</c:v>
                      </c:pt>
                      <c:pt idx="2">
                        <c:v>FOREMOST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v1'!$J$15:$J$17</c15:sqref>
                        </c15:formulaRef>
                      </c:ext>
                    </c:extLst>
                    <c:strCache>
                      <c:ptCount val="3"/>
                      <c:pt idx="0">
                        <c:v>Eight.dd </c:v>
                      </c:pt>
                      <c:pt idx="1">
                        <c:v>Nine.dd</c:v>
                      </c:pt>
                      <c:pt idx="2">
                        <c:v>Three.dd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v1'!$M$15:$M$17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C-4633-9D00-B520710C645F}"/>
                  </c:ext>
                </c:extLst>
              </c15:ser>
            </c15:filteredBarSeries>
          </c:ext>
        </c:extLst>
      </c:barChart>
      <c:catAx>
        <c:axId val="176735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8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REPORTS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38288"/>
        <c:crosses val="autoZero"/>
        <c:auto val="1"/>
        <c:lblAlgn val="ctr"/>
        <c:lblOffset val="100"/>
        <c:noMultiLvlLbl val="0"/>
      </c:catAx>
      <c:valAx>
        <c:axId val="10104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TIME TAKEN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35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'Human vs AI v1'!$T$12:$T$14</c:f>
              <c:strCache>
                <c:ptCount val="3"/>
                <c:pt idx="0">
                  <c:v>AI</c:v>
                </c:pt>
                <c:pt idx="2">
                  <c:v>(Minutes)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'Human vs AI v1'!$P$15:$P$17</c:f>
              <c:strCache>
                <c:ptCount val="3"/>
                <c:pt idx="0">
                  <c:v>Evidence01.pcap</c:v>
                </c:pt>
                <c:pt idx="1">
                  <c:v>Evidence02.pcap</c:v>
                </c:pt>
                <c:pt idx="2">
                  <c:v>Evidence03.pcap</c:v>
                </c:pt>
              </c:strCache>
            </c:strRef>
          </c:cat>
          <c:val>
            <c:numRef>
              <c:f>'Human vs AI v1'!$T$15:$T$17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1A-47EF-B2B1-C6219C02F3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3789744"/>
        <c:axId val="10103917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'Human vs AI v1'!$Q$12:$Q$14</c15:sqref>
                        </c15:formulaRef>
                      </c:ext>
                    </c:extLst>
                    <c:strCache>
                      <c:ptCount val="3"/>
                      <c:pt idx="0">
                        <c:v>AI</c:v>
                      </c:pt>
                      <c:pt idx="2">
                        <c:v>WIRESHARK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'Human vs AI v1'!$P$15:$P$17</c15:sqref>
                        </c15:formulaRef>
                      </c:ext>
                    </c:extLst>
                    <c:strCache>
                      <c:ptCount val="3"/>
                      <c:pt idx="0">
                        <c:v>Evidence01.pcap</c:v>
                      </c:pt>
                      <c:pt idx="1">
                        <c:v>Evidence02.pcap</c:v>
                      </c:pt>
                      <c:pt idx="2">
                        <c:v>Evidence03.pcap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'Human vs AI v1'!$Q$15:$Q$17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61A-47EF-B2B1-C6219C02F30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v1'!$R$12:$R$14</c15:sqref>
                        </c15:formulaRef>
                      </c:ext>
                    </c:extLst>
                    <c:strCache>
                      <c:ptCount val="3"/>
                      <c:pt idx="0">
                        <c:v>AI</c:v>
                      </c:pt>
                      <c:pt idx="2">
                        <c:v>WIRESHARK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v1'!$P$15:$P$17</c15:sqref>
                        </c15:formulaRef>
                      </c:ext>
                    </c:extLst>
                    <c:strCache>
                      <c:ptCount val="3"/>
                      <c:pt idx="0">
                        <c:v>Evidence01.pcap</c:v>
                      </c:pt>
                      <c:pt idx="1">
                        <c:v>Evidence02.pcap</c:v>
                      </c:pt>
                      <c:pt idx="2">
                        <c:v>Evidence03.pcap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v1'!$R$15:$R$17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61A-47EF-B2B1-C6219C02F30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v1'!$S$12:$S$14</c15:sqref>
                        </c15:formulaRef>
                      </c:ext>
                    </c:extLst>
                    <c:strCache>
                      <c:ptCount val="3"/>
                      <c:pt idx="0">
                        <c:v>AI</c:v>
                      </c:pt>
                      <c:pt idx="2">
                        <c:v>WIRESHARK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v1'!$P$15:$P$17</c15:sqref>
                        </c15:formulaRef>
                      </c:ext>
                    </c:extLst>
                    <c:strCache>
                      <c:ptCount val="3"/>
                      <c:pt idx="0">
                        <c:v>Evidence01.pcap</c:v>
                      </c:pt>
                      <c:pt idx="1">
                        <c:v>Evidence02.pcap</c:v>
                      </c:pt>
                      <c:pt idx="2">
                        <c:v>Evidence03.pcap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v1'!$S$15:$S$17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1A-47EF-B2B1-C6219C02F303}"/>
                  </c:ext>
                </c:extLst>
              </c15:ser>
            </c15:filteredBarSeries>
          </c:ext>
        </c:extLst>
      </c:barChart>
      <c:catAx>
        <c:axId val="121378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REPORTS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91728"/>
        <c:crosses val="autoZero"/>
        <c:auto val="1"/>
        <c:lblAlgn val="ctr"/>
        <c:lblOffset val="100"/>
        <c:noMultiLvlLbl val="0"/>
      </c:catAx>
      <c:valAx>
        <c:axId val="10103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78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NZ"/>
              <a:t>NMAP - HUMAN vs AI (Seconds)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6363217755675"/>
          <c:y val="0.18303258967629046"/>
          <c:w val="0.8742971865358935"/>
          <c:h val="0.4572619568387285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'Human vs AI v2'!$F$2:$F$4</c:f>
              <c:strCache>
                <c:ptCount val="3"/>
                <c:pt idx="0">
                  <c:v>NMAP</c:v>
                </c:pt>
                <c:pt idx="2">
                  <c:v>HUMAN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'Human vs AI v2'!$B$5:$B$17</c:f>
              <c:strCache>
                <c:ptCount val="12"/>
                <c:pt idx="0">
                  <c:v>SOITNetworkScan.xml </c:v>
                </c:pt>
                <c:pt idx="1">
                  <c:v>28sepServiceScan.xml</c:v>
                </c:pt>
                <c:pt idx="2">
                  <c:v>nmap_example.xml</c:v>
                </c:pt>
                <c:pt idx="8">
                  <c:v>AI</c:v>
                </c:pt>
                <c:pt idx="9">
                  <c:v>SOITNetworkScan.xml </c:v>
                </c:pt>
                <c:pt idx="10">
                  <c:v>28sepServiceScan.xml</c:v>
                </c:pt>
                <c:pt idx="11">
                  <c:v>nmap_example.xml</c:v>
                </c:pt>
              </c:strCache>
            </c:strRef>
          </c:cat>
          <c:val>
            <c:numRef>
              <c:f>'Human vs AI v2'!$F$5:$F$17</c:f>
              <c:numCache>
                <c:formatCode>General</c:formatCode>
                <c:ptCount val="13"/>
                <c:pt idx="0">
                  <c:v>28800</c:v>
                </c:pt>
                <c:pt idx="1">
                  <c:v>19620</c:v>
                </c:pt>
                <c:pt idx="2">
                  <c:v>7200</c:v>
                </c:pt>
                <c:pt idx="9">
                  <c:v>103</c:v>
                </c:pt>
                <c:pt idx="10">
                  <c:v>81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14-4156-8344-023552B4BC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66227216"/>
        <c:axId val="10103994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'Human vs AI v2'!$C$2:$C$4</c15:sqref>
                        </c15:formulaRef>
                      </c:ext>
                    </c:extLst>
                    <c:strCache>
                      <c:ptCount val="3"/>
                      <c:pt idx="0">
                        <c:v>NMAP</c:v>
                      </c:pt>
                      <c:pt idx="2">
                        <c:v>HUMAN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'Human vs AI v2'!$B$5:$B$17</c15:sqref>
                        </c15:formulaRef>
                      </c:ext>
                    </c:extLst>
                    <c:strCache>
                      <c:ptCount val="12"/>
                      <c:pt idx="0">
                        <c:v>SOITNetworkScan.xml </c:v>
                      </c:pt>
                      <c:pt idx="1">
                        <c:v>28sepServiceScan.xml</c:v>
                      </c:pt>
                      <c:pt idx="2">
                        <c:v>nmap_example.xml</c:v>
                      </c:pt>
                      <c:pt idx="8">
                        <c:v>AI</c:v>
                      </c:pt>
                      <c:pt idx="9">
                        <c:v>SOITNetworkScan.xml </c:v>
                      </c:pt>
                      <c:pt idx="10">
                        <c:v>28sepServiceScan.xml</c:v>
                      </c:pt>
                      <c:pt idx="11">
                        <c:v>nmap_example.xml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'Human vs AI v2'!$C$5:$C$17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314-4156-8344-023552B4BC4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v2'!$D$2:$D$4</c15:sqref>
                        </c15:formulaRef>
                      </c:ext>
                    </c:extLst>
                    <c:strCache>
                      <c:ptCount val="3"/>
                      <c:pt idx="0">
                        <c:v>NMAP</c:v>
                      </c:pt>
                      <c:pt idx="2">
                        <c:v>HUMAN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v2'!$B$5:$B$17</c15:sqref>
                        </c15:formulaRef>
                      </c:ext>
                    </c:extLst>
                    <c:strCache>
                      <c:ptCount val="12"/>
                      <c:pt idx="0">
                        <c:v>SOITNetworkScan.xml </c:v>
                      </c:pt>
                      <c:pt idx="1">
                        <c:v>28sepServiceScan.xml</c:v>
                      </c:pt>
                      <c:pt idx="2">
                        <c:v>nmap_example.xml</c:v>
                      </c:pt>
                      <c:pt idx="8">
                        <c:v>AI</c:v>
                      </c:pt>
                      <c:pt idx="9">
                        <c:v>SOITNetworkScan.xml </c:v>
                      </c:pt>
                      <c:pt idx="10">
                        <c:v>28sepServiceScan.xml</c:v>
                      </c:pt>
                      <c:pt idx="11">
                        <c:v>nmap_example.xml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v2'!$D$5:$D$17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314-4156-8344-023552B4BC4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v2'!$E$2:$E$4</c15:sqref>
                        </c15:formulaRef>
                      </c:ext>
                    </c:extLst>
                    <c:strCache>
                      <c:ptCount val="3"/>
                      <c:pt idx="0">
                        <c:v>NMAP</c:v>
                      </c:pt>
                      <c:pt idx="2">
                        <c:v>HUMAN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v2'!$B$5:$B$17</c15:sqref>
                        </c15:formulaRef>
                      </c:ext>
                    </c:extLst>
                    <c:strCache>
                      <c:ptCount val="12"/>
                      <c:pt idx="0">
                        <c:v>SOITNetworkScan.xml </c:v>
                      </c:pt>
                      <c:pt idx="1">
                        <c:v>28sepServiceScan.xml</c:v>
                      </c:pt>
                      <c:pt idx="2">
                        <c:v>nmap_example.xml</c:v>
                      </c:pt>
                      <c:pt idx="8">
                        <c:v>AI</c:v>
                      </c:pt>
                      <c:pt idx="9">
                        <c:v>SOITNetworkScan.xml </c:v>
                      </c:pt>
                      <c:pt idx="10">
                        <c:v>28sepServiceScan.xml</c:v>
                      </c:pt>
                      <c:pt idx="11">
                        <c:v>nmap_example.xml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v2'!$E$5:$E$17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314-4156-8344-023552B4BC44}"/>
                  </c:ext>
                </c:extLst>
              </c15:ser>
            </c15:filteredBarSeries>
          </c:ext>
        </c:extLst>
      </c:barChart>
      <c:catAx>
        <c:axId val="16662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99408"/>
        <c:crosses val="autoZero"/>
        <c:auto val="1"/>
        <c:lblAlgn val="ctr"/>
        <c:lblOffset val="100"/>
        <c:noMultiLvlLbl val="0"/>
      </c:catAx>
      <c:valAx>
        <c:axId val="10103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FOREMOST - HUMAN vs AI (Seconds)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137865923366428E-2"/>
          <c:y val="0.18303258967629046"/>
          <c:w val="0.93125329154410352"/>
          <c:h val="0.70993839311752693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'Human vs AI v2'!$L$2:$L$4</c:f>
              <c:strCache>
                <c:ptCount val="3"/>
                <c:pt idx="0">
                  <c:v>FOREMOST</c:v>
                </c:pt>
                <c:pt idx="2">
                  <c:v>HUMAN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'Human vs AI v2'!$H$5:$H$17</c:f>
              <c:strCache>
                <c:ptCount val="12"/>
                <c:pt idx="0">
                  <c:v>Eight.dd </c:v>
                </c:pt>
                <c:pt idx="1">
                  <c:v>Nine.dd</c:v>
                </c:pt>
                <c:pt idx="2">
                  <c:v>Three.dd</c:v>
                </c:pt>
                <c:pt idx="8">
                  <c:v>AI</c:v>
                </c:pt>
                <c:pt idx="9">
                  <c:v>Eight.dd </c:v>
                </c:pt>
                <c:pt idx="10">
                  <c:v>Nine.dd</c:v>
                </c:pt>
                <c:pt idx="11">
                  <c:v>Three.dd</c:v>
                </c:pt>
              </c:strCache>
            </c:strRef>
          </c:cat>
          <c:val>
            <c:numRef>
              <c:f>'Human vs AI v2'!$L$5:$L$17</c:f>
              <c:numCache>
                <c:formatCode>General</c:formatCode>
                <c:ptCount val="13"/>
                <c:pt idx="0">
                  <c:v>14400</c:v>
                </c:pt>
                <c:pt idx="1">
                  <c:v>77400</c:v>
                </c:pt>
                <c:pt idx="2">
                  <c:v>10800</c:v>
                </c:pt>
                <c:pt idx="9">
                  <c:v>19</c:v>
                </c:pt>
                <c:pt idx="10">
                  <c:v>37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33-4AD5-8152-1845C89E79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6216544"/>
        <c:axId val="1010493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'Human vs AI v2'!$I$2:$I$4</c15:sqref>
                        </c15:formulaRef>
                      </c:ext>
                    </c:extLst>
                    <c:strCache>
                      <c:ptCount val="3"/>
                      <c:pt idx="0">
                        <c:v>FOREMOST</c:v>
                      </c:pt>
                      <c:pt idx="2">
                        <c:v>HUMAN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'Human vs AI v2'!$H$5:$H$17</c15:sqref>
                        </c15:formulaRef>
                      </c:ext>
                    </c:extLst>
                    <c:strCache>
                      <c:ptCount val="12"/>
                      <c:pt idx="0">
                        <c:v>Eight.dd </c:v>
                      </c:pt>
                      <c:pt idx="1">
                        <c:v>Nine.dd</c:v>
                      </c:pt>
                      <c:pt idx="2">
                        <c:v>Three.dd</c:v>
                      </c:pt>
                      <c:pt idx="8">
                        <c:v>AI</c:v>
                      </c:pt>
                      <c:pt idx="9">
                        <c:v>Eight.dd </c:v>
                      </c:pt>
                      <c:pt idx="10">
                        <c:v>Nine.dd</c:v>
                      </c:pt>
                      <c:pt idx="11">
                        <c:v>Three.dd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'Human vs AI v2'!$I$5:$I$17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133-4AD5-8152-1845C89E799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v2'!$J$2:$J$4</c15:sqref>
                        </c15:formulaRef>
                      </c:ext>
                    </c:extLst>
                    <c:strCache>
                      <c:ptCount val="3"/>
                      <c:pt idx="0">
                        <c:v>FOREMOST</c:v>
                      </c:pt>
                      <c:pt idx="2">
                        <c:v>HUMAN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v2'!$H$5:$H$17</c15:sqref>
                        </c15:formulaRef>
                      </c:ext>
                    </c:extLst>
                    <c:strCache>
                      <c:ptCount val="12"/>
                      <c:pt idx="0">
                        <c:v>Eight.dd </c:v>
                      </c:pt>
                      <c:pt idx="1">
                        <c:v>Nine.dd</c:v>
                      </c:pt>
                      <c:pt idx="2">
                        <c:v>Three.dd</c:v>
                      </c:pt>
                      <c:pt idx="8">
                        <c:v>AI</c:v>
                      </c:pt>
                      <c:pt idx="9">
                        <c:v>Eight.dd </c:v>
                      </c:pt>
                      <c:pt idx="10">
                        <c:v>Nine.dd</c:v>
                      </c:pt>
                      <c:pt idx="11">
                        <c:v>Three.dd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v2'!$J$5:$J$17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133-4AD5-8152-1845C89E799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v2'!$K$2:$K$4</c15:sqref>
                        </c15:formulaRef>
                      </c:ext>
                    </c:extLst>
                    <c:strCache>
                      <c:ptCount val="3"/>
                      <c:pt idx="0">
                        <c:v>FOREMOST</c:v>
                      </c:pt>
                      <c:pt idx="2">
                        <c:v>HUMAN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v2'!$H$5:$H$17</c15:sqref>
                        </c15:formulaRef>
                      </c:ext>
                    </c:extLst>
                    <c:strCache>
                      <c:ptCount val="12"/>
                      <c:pt idx="0">
                        <c:v>Eight.dd </c:v>
                      </c:pt>
                      <c:pt idx="1">
                        <c:v>Nine.dd</c:v>
                      </c:pt>
                      <c:pt idx="2">
                        <c:v>Three.dd</c:v>
                      </c:pt>
                      <c:pt idx="8">
                        <c:v>AI</c:v>
                      </c:pt>
                      <c:pt idx="9">
                        <c:v>Eight.dd </c:v>
                      </c:pt>
                      <c:pt idx="10">
                        <c:v>Nine.dd</c:v>
                      </c:pt>
                      <c:pt idx="11">
                        <c:v>Three.dd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v2'!$K$5:$K$17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133-4AD5-8152-1845C89E7998}"/>
                  </c:ext>
                </c:extLst>
              </c15:ser>
            </c15:filteredBarSeries>
          </c:ext>
        </c:extLst>
      </c:barChart>
      <c:catAx>
        <c:axId val="16662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93968"/>
        <c:crosses val="autoZero"/>
        <c:auto val="1"/>
        <c:lblAlgn val="ctr"/>
        <c:lblOffset val="100"/>
        <c:noMultiLvlLbl val="0"/>
      </c:catAx>
      <c:valAx>
        <c:axId val="10104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1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NZ"/>
              <a:t>WIRESHARK - HUMAN vs AI (Seconds)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'Human vs AI v2'!$R$2:$R$4</c:f>
              <c:strCache>
                <c:ptCount val="3"/>
                <c:pt idx="0">
                  <c:v>WIRESHARK</c:v>
                </c:pt>
                <c:pt idx="2">
                  <c:v>HUMAN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'Human vs AI v2'!$N$5:$N$17</c:f>
              <c:strCache>
                <c:ptCount val="12"/>
                <c:pt idx="0">
                  <c:v>Evidence01.pcap</c:v>
                </c:pt>
                <c:pt idx="1">
                  <c:v>Evidence02.pcap</c:v>
                </c:pt>
                <c:pt idx="2">
                  <c:v>Evidence03.pcap</c:v>
                </c:pt>
                <c:pt idx="8">
                  <c:v>AI</c:v>
                </c:pt>
                <c:pt idx="9">
                  <c:v>Evidence01.pcap</c:v>
                </c:pt>
                <c:pt idx="10">
                  <c:v>Evidence02.pcap</c:v>
                </c:pt>
                <c:pt idx="11">
                  <c:v>Evidence03.pcap</c:v>
                </c:pt>
              </c:strCache>
            </c:strRef>
          </c:cat>
          <c:val>
            <c:numRef>
              <c:f>'Human vs AI v2'!$R$5:$R$17</c:f>
              <c:numCache>
                <c:formatCode>General</c:formatCode>
                <c:ptCount val="13"/>
                <c:pt idx="0">
                  <c:v>14400</c:v>
                </c:pt>
                <c:pt idx="2">
                  <c:v>25740</c:v>
                </c:pt>
                <c:pt idx="9">
                  <c:v>157</c:v>
                </c:pt>
                <c:pt idx="10">
                  <c:v>115</c:v>
                </c:pt>
                <c:pt idx="11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A1-492D-8C72-5872F60AE7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87970512"/>
        <c:axId val="10106178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'Human vs AI v2'!$O$2:$O$4</c15:sqref>
                        </c15:formulaRef>
                      </c:ext>
                    </c:extLst>
                    <c:strCache>
                      <c:ptCount val="3"/>
                      <c:pt idx="0">
                        <c:v>WIRESHARK</c:v>
                      </c:pt>
                      <c:pt idx="2">
                        <c:v>HUMAN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'Human vs AI v2'!$N$5:$N$17</c15:sqref>
                        </c15:formulaRef>
                      </c:ext>
                    </c:extLst>
                    <c:strCache>
                      <c:ptCount val="12"/>
                      <c:pt idx="0">
                        <c:v>Evidence01.pcap</c:v>
                      </c:pt>
                      <c:pt idx="1">
                        <c:v>Evidence02.pcap</c:v>
                      </c:pt>
                      <c:pt idx="2">
                        <c:v>Evidence03.pcap</c:v>
                      </c:pt>
                      <c:pt idx="8">
                        <c:v>AI</c:v>
                      </c:pt>
                      <c:pt idx="9">
                        <c:v>Evidence01.pcap</c:v>
                      </c:pt>
                      <c:pt idx="10">
                        <c:v>Evidence02.pcap</c:v>
                      </c:pt>
                      <c:pt idx="11">
                        <c:v>Evidence03.pcap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'Human vs AI v2'!$O$5:$O$17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EA1-492D-8C72-5872F60AE7D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v2'!$P$2:$P$4</c15:sqref>
                        </c15:formulaRef>
                      </c:ext>
                    </c:extLst>
                    <c:strCache>
                      <c:ptCount val="3"/>
                      <c:pt idx="0">
                        <c:v>WIRESHARK</c:v>
                      </c:pt>
                      <c:pt idx="2">
                        <c:v>HUMAN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v2'!$N$5:$N$17</c15:sqref>
                        </c15:formulaRef>
                      </c:ext>
                    </c:extLst>
                    <c:strCache>
                      <c:ptCount val="12"/>
                      <c:pt idx="0">
                        <c:v>Evidence01.pcap</c:v>
                      </c:pt>
                      <c:pt idx="1">
                        <c:v>Evidence02.pcap</c:v>
                      </c:pt>
                      <c:pt idx="2">
                        <c:v>Evidence03.pcap</c:v>
                      </c:pt>
                      <c:pt idx="8">
                        <c:v>AI</c:v>
                      </c:pt>
                      <c:pt idx="9">
                        <c:v>Evidence01.pcap</c:v>
                      </c:pt>
                      <c:pt idx="10">
                        <c:v>Evidence02.pcap</c:v>
                      </c:pt>
                      <c:pt idx="11">
                        <c:v>Evidence03.pcap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v2'!$P$5:$P$17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EA1-492D-8C72-5872F60AE7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v2'!$Q$2:$Q$4</c15:sqref>
                        </c15:formulaRef>
                      </c:ext>
                    </c:extLst>
                    <c:strCache>
                      <c:ptCount val="3"/>
                      <c:pt idx="0">
                        <c:v>WIRESHARK</c:v>
                      </c:pt>
                      <c:pt idx="2">
                        <c:v>HUMAN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v2'!$N$5:$N$17</c15:sqref>
                        </c15:formulaRef>
                      </c:ext>
                    </c:extLst>
                    <c:strCache>
                      <c:ptCount val="12"/>
                      <c:pt idx="0">
                        <c:v>Evidence01.pcap</c:v>
                      </c:pt>
                      <c:pt idx="1">
                        <c:v>Evidence02.pcap</c:v>
                      </c:pt>
                      <c:pt idx="2">
                        <c:v>Evidence03.pcap</c:v>
                      </c:pt>
                      <c:pt idx="8">
                        <c:v>AI</c:v>
                      </c:pt>
                      <c:pt idx="9">
                        <c:v>Evidence01.pcap</c:v>
                      </c:pt>
                      <c:pt idx="10">
                        <c:v>Evidence02.pcap</c:v>
                      </c:pt>
                      <c:pt idx="11">
                        <c:v>Evidence03.pcap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'Human vs AI v2'!$Q$5:$Q$17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A1-492D-8C72-5872F60AE7D0}"/>
                  </c:ext>
                </c:extLst>
              </c15:ser>
            </c15:filteredBarSeries>
          </c:ext>
        </c:extLst>
      </c:barChart>
      <c:catAx>
        <c:axId val="158797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617808"/>
        <c:crosses val="autoZero"/>
        <c:auto val="1"/>
        <c:lblAlgn val="ctr"/>
        <c:lblOffset val="100"/>
        <c:noMultiLvlLbl val="0"/>
      </c:catAx>
      <c:valAx>
        <c:axId val="101061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7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21</xdr:row>
      <xdr:rowOff>185737</xdr:rowOff>
    </xdr:from>
    <xdr:to>
      <xdr:col>9</xdr:col>
      <xdr:colOff>295275</xdr:colOff>
      <xdr:row>36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8AA480-7543-C576-E42F-972D27E09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442912</xdr:colOff>
      <xdr:row>21</xdr:row>
      <xdr:rowOff>185737</xdr:rowOff>
    </xdr:from>
    <xdr:to>
      <xdr:col>15</xdr:col>
      <xdr:colOff>414337</xdr:colOff>
      <xdr:row>36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B3C213-A859-A683-5FF5-69A1EF3FE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728661</xdr:colOff>
      <xdr:row>41</xdr:row>
      <xdr:rowOff>161925</xdr:rowOff>
    </xdr:from>
    <xdr:to>
      <xdr:col>9</xdr:col>
      <xdr:colOff>266700</xdr:colOff>
      <xdr:row>56</xdr:row>
      <xdr:rowOff>138112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57A5938-9809-CF80-8F60-EE412815A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747711</xdr:colOff>
      <xdr:row>61</xdr:row>
      <xdr:rowOff>114300</xdr:rowOff>
    </xdr:from>
    <xdr:to>
      <xdr:col>9</xdr:col>
      <xdr:colOff>228600</xdr:colOff>
      <xdr:row>76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A1C7734-3016-ED23-29A8-531BF963F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414337</xdr:colOff>
      <xdr:row>41</xdr:row>
      <xdr:rowOff>166687</xdr:rowOff>
    </xdr:from>
    <xdr:to>
      <xdr:col>15</xdr:col>
      <xdr:colOff>428626</xdr:colOff>
      <xdr:row>56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7C5C7CC-047E-F9CB-A60A-3CEFBCF01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328611</xdr:colOff>
      <xdr:row>61</xdr:row>
      <xdr:rowOff>128586</xdr:rowOff>
    </xdr:from>
    <xdr:to>
      <xdr:col>15</xdr:col>
      <xdr:colOff>457199</xdr:colOff>
      <xdr:row>76</xdr:row>
      <xdr:rowOff>114299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BD985F6-67C3-2AAF-2F9D-5CD46662C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</xdr:colOff>
      <xdr:row>18</xdr:row>
      <xdr:rowOff>128587</xdr:rowOff>
    </xdr:from>
    <xdr:to>
      <xdr:col>7</xdr:col>
      <xdr:colOff>338137</xdr:colOff>
      <xdr:row>33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55441B-6E08-43AA-EBAC-07B3D8CE7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18</xdr:row>
      <xdr:rowOff>109537</xdr:rowOff>
    </xdr:from>
    <xdr:to>
      <xdr:col>16</xdr:col>
      <xdr:colOff>161925</xdr:colOff>
      <xdr:row>32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C36ECA-7655-D43B-2550-E115FDD5B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376237</xdr:colOff>
      <xdr:row>18</xdr:row>
      <xdr:rowOff>119062</xdr:rowOff>
    </xdr:from>
    <xdr:to>
      <xdr:col>19</xdr:col>
      <xdr:colOff>3119437</xdr:colOff>
      <xdr:row>33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A729CB-A3FF-8507-DA90-06D7565A3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B7F5-AF40-4CA0-A493-72C173C40C4D}">
  <dimension ref="C2:U78"/>
  <sheetViews>
    <sheetView topLeftCell="C1" workbookViewId="0">
      <selection activeCell="R12" sqref="R12"/>
    </sheetView>
  </sheetViews>
  <sheetFormatPr defaultRowHeight="15" x14ac:dyDescent="0.25"/>
  <cols>
    <col min="2" max="3" width="11.28515625" customWidth="1"/>
    <col min="4" max="4" width="21.85546875" customWidth="1"/>
    <col min="8" max="8" width="18.28515625" customWidth="1"/>
    <col min="10" max="10" width="13.7109375" customWidth="1"/>
    <col min="14" max="14" width="18.7109375" customWidth="1"/>
    <col min="16" max="16" width="18.42578125" customWidth="1"/>
    <col min="20" max="20" width="18.5703125" customWidth="1"/>
  </cols>
  <sheetData>
    <row r="2" spans="3:21" x14ac:dyDescent="0.25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3:21" x14ac:dyDescent="0.25">
      <c r="C3" s="2"/>
      <c r="D3" s="5" t="s">
        <v>3</v>
      </c>
      <c r="E3" s="2"/>
      <c r="F3" s="2"/>
      <c r="G3" s="2"/>
      <c r="H3" s="2"/>
      <c r="I3" s="2"/>
      <c r="J3" s="5" t="s">
        <v>3</v>
      </c>
      <c r="K3" s="2"/>
      <c r="L3" s="2"/>
      <c r="M3" s="2"/>
      <c r="N3" s="2"/>
      <c r="O3" s="2"/>
      <c r="P3" s="5" t="s">
        <v>3</v>
      </c>
      <c r="Q3" s="2"/>
      <c r="R3" s="2"/>
      <c r="S3" s="2"/>
      <c r="T3" s="2"/>
      <c r="U3" s="2"/>
    </row>
    <row r="4" spans="3:21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3:21" x14ac:dyDescent="0.25">
      <c r="C5" s="2"/>
      <c r="D5" s="4" t="s">
        <v>0</v>
      </c>
      <c r="E5" s="3"/>
      <c r="F5" s="3"/>
      <c r="G5" s="3"/>
      <c r="H5" s="8"/>
      <c r="I5" s="2"/>
      <c r="J5" s="4" t="s">
        <v>1</v>
      </c>
      <c r="K5" s="3"/>
      <c r="L5" s="3"/>
      <c r="M5" s="3"/>
      <c r="N5" s="8"/>
      <c r="O5" s="2"/>
      <c r="P5" s="4" t="s">
        <v>2</v>
      </c>
      <c r="Q5" s="3"/>
      <c r="R5" s="3"/>
      <c r="S5" s="3"/>
      <c r="T5" s="8"/>
      <c r="U5" s="2"/>
    </row>
    <row r="6" spans="3:21" x14ac:dyDescent="0.25">
      <c r="C6" s="2"/>
      <c r="D6" s="1" t="s">
        <v>8</v>
      </c>
      <c r="E6" s="1"/>
      <c r="F6" s="1"/>
      <c r="G6" s="1"/>
      <c r="H6" s="1">
        <v>10000</v>
      </c>
      <c r="I6" s="2"/>
      <c r="J6" s="1" t="s">
        <v>9</v>
      </c>
      <c r="K6" s="1"/>
      <c r="L6" s="1"/>
      <c r="M6" s="1"/>
      <c r="N6" s="1">
        <v>10000</v>
      </c>
      <c r="O6" s="2"/>
      <c r="P6" s="1" t="s">
        <v>14</v>
      </c>
      <c r="Q6" s="1"/>
      <c r="R6" s="1"/>
      <c r="S6" s="1"/>
      <c r="T6" s="1">
        <v>10000</v>
      </c>
      <c r="U6" s="2"/>
    </row>
    <row r="7" spans="3:21" x14ac:dyDescent="0.25">
      <c r="C7" s="2"/>
      <c r="D7" s="1" t="s">
        <v>15</v>
      </c>
      <c r="E7" s="1"/>
      <c r="F7" s="1"/>
      <c r="G7" s="1"/>
      <c r="H7" s="1">
        <v>10000</v>
      </c>
      <c r="I7" s="2"/>
      <c r="J7" s="1" t="s">
        <v>10</v>
      </c>
      <c r="K7" s="1"/>
      <c r="L7" s="1"/>
      <c r="M7" s="1"/>
      <c r="N7" s="1">
        <v>10000</v>
      </c>
      <c r="O7" s="2"/>
      <c r="P7" s="1" t="s">
        <v>13</v>
      </c>
      <c r="Q7" s="1"/>
      <c r="R7" s="1"/>
      <c r="S7" s="1"/>
      <c r="T7" s="1">
        <v>10000</v>
      </c>
      <c r="U7" s="2"/>
    </row>
    <row r="8" spans="3:21" x14ac:dyDescent="0.25">
      <c r="C8" s="2"/>
      <c r="D8" s="1" t="s">
        <v>16</v>
      </c>
      <c r="E8" s="1"/>
      <c r="F8" s="1"/>
      <c r="G8" s="1"/>
      <c r="H8" s="1">
        <v>10000</v>
      </c>
      <c r="I8" s="2"/>
      <c r="J8" s="1" t="s">
        <v>11</v>
      </c>
      <c r="K8" s="1"/>
      <c r="L8" s="1"/>
      <c r="M8" s="1"/>
      <c r="N8" s="1">
        <v>10000</v>
      </c>
      <c r="O8" s="2"/>
      <c r="P8" s="1" t="s">
        <v>12</v>
      </c>
      <c r="Q8" s="1"/>
      <c r="R8" s="1"/>
      <c r="S8" s="1"/>
      <c r="T8" s="1">
        <v>10000</v>
      </c>
      <c r="U8" s="2"/>
    </row>
    <row r="9" spans="3:21" x14ac:dyDescent="0.25">
      <c r="C9" s="2"/>
      <c r="D9" s="6" t="s">
        <v>5</v>
      </c>
      <c r="E9" s="1"/>
      <c r="F9" s="1"/>
      <c r="G9" s="1"/>
      <c r="H9" s="1">
        <f>H6+H7+H8</f>
        <v>30000</v>
      </c>
      <c r="I9" s="2"/>
      <c r="J9" s="6" t="s">
        <v>5</v>
      </c>
      <c r="K9" s="1"/>
      <c r="L9" s="1"/>
      <c r="M9" s="1"/>
      <c r="N9" s="1">
        <f>N6+N7+N8</f>
        <v>30000</v>
      </c>
      <c r="O9" s="2"/>
      <c r="P9" s="6" t="s">
        <v>5</v>
      </c>
      <c r="Q9" s="1"/>
      <c r="R9" s="1"/>
      <c r="S9" s="1"/>
      <c r="T9" s="1">
        <f>T6+T7+T8</f>
        <v>30000</v>
      </c>
      <c r="U9" s="2"/>
    </row>
    <row r="10" spans="3:21" x14ac:dyDescent="0.25">
      <c r="C10" s="2"/>
      <c r="D10" s="11" t="s">
        <v>17</v>
      </c>
      <c r="E10" s="12"/>
      <c r="F10" s="12"/>
      <c r="G10" s="12"/>
      <c r="H10" s="12"/>
      <c r="I10" s="2"/>
      <c r="J10" s="13" t="s">
        <v>17</v>
      </c>
      <c r="K10" s="14"/>
      <c r="L10" s="14"/>
      <c r="M10" s="14"/>
      <c r="N10" s="14"/>
      <c r="O10" s="14"/>
      <c r="P10" s="13" t="s">
        <v>17</v>
      </c>
      <c r="Q10" s="14"/>
      <c r="R10" s="14"/>
      <c r="S10" s="14"/>
      <c r="T10" s="14"/>
      <c r="U10" s="2"/>
    </row>
    <row r="11" spans="3:21" x14ac:dyDescent="0.2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3:21" x14ac:dyDescent="0.25">
      <c r="C12" s="2"/>
      <c r="D12" s="5" t="s">
        <v>4</v>
      </c>
      <c r="E12" s="2"/>
      <c r="F12" s="2"/>
      <c r="G12" s="2"/>
      <c r="H12" s="2"/>
      <c r="I12" s="2"/>
      <c r="J12" s="5" t="s">
        <v>4</v>
      </c>
      <c r="K12" s="2"/>
      <c r="L12" s="2"/>
      <c r="M12" s="2"/>
      <c r="N12" s="2"/>
      <c r="O12" s="2"/>
      <c r="P12" s="5" t="s">
        <v>4</v>
      </c>
      <c r="Q12" s="2"/>
      <c r="R12" s="2"/>
      <c r="S12" s="2"/>
      <c r="T12" s="2"/>
      <c r="U12" s="2"/>
    </row>
    <row r="13" spans="3:21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3:21" x14ac:dyDescent="0.25">
      <c r="C14" s="2"/>
      <c r="D14" s="4" t="s">
        <v>0</v>
      </c>
      <c r="E14" s="3"/>
      <c r="F14" s="3"/>
      <c r="G14" s="3"/>
      <c r="H14" s="8" t="s">
        <v>6</v>
      </c>
      <c r="I14" s="2"/>
      <c r="J14" s="4" t="s">
        <v>1</v>
      </c>
      <c r="K14" s="3"/>
      <c r="L14" s="3"/>
      <c r="M14" s="3"/>
      <c r="N14" s="8" t="s">
        <v>6</v>
      </c>
      <c r="O14" s="2"/>
      <c r="P14" s="4" t="s">
        <v>2</v>
      </c>
      <c r="Q14" s="3"/>
      <c r="R14" s="3"/>
      <c r="S14" s="3"/>
      <c r="T14" s="8" t="s">
        <v>6</v>
      </c>
      <c r="U14" s="2"/>
    </row>
    <row r="15" spans="3:21" x14ac:dyDescent="0.25">
      <c r="C15" s="2"/>
      <c r="D15" s="1" t="s">
        <v>8</v>
      </c>
      <c r="E15" s="1"/>
      <c r="F15" s="1"/>
      <c r="G15" s="1"/>
      <c r="H15" s="1">
        <v>5</v>
      </c>
      <c r="I15" s="2"/>
      <c r="J15" s="1" t="s">
        <v>9</v>
      </c>
      <c r="K15" s="1"/>
      <c r="L15" s="1"/>
      <c r="M15" s="1"/>
      <c r="N15" s="1">
        <v>2</v>
      </c>
      <c r="O15" s="2"/>
      <c r="P15" s="1" t="s">
        <v>14</v>
      </c>
      <c r="Q15" s="1"/>
      <c r="R15" s="1"/>
      <c r="S15" s="1"/>
      <c r="T15" s="1">
        <v>5</v>
      </c>
      <c r="U15" s="2"/>
    </row>
    <row r="16" spans="3:21" x14ac:dyDescent="0.25">
      <c r="C16" s="2"/>
      <c r="D16" s="1" t="s">
        <v>15</v>
      </c>
      <c r="E16" s="1"/>
      <c r="F16" s="1"/>
      <c r="G16" s="1"/>
      <c r="H16" s="1">
        <v>7</v>
      </c>
      <c r="I16" s="2"/>
      <c r="J16" s="1" t="s">
        <v>10</v>
      </c>
      <c r="K16" s="1"/>
      <c r="L16" s="1"/>
      <c r="M16" s="1"/>
      <c r="N16" s="1">
        <v>2</v>
      </c>
      <c r="O16" s="2"/>
      <c r="P16" s="1" t="s">
        <v>13</v>
      </c>
      <c r="Q16" s="1"/>
      <c r="R16" s="1"/>
      <c r="S16" s="1"/>
      <c r="T16" s="1">
        <v>2</v>
      </c>
      <c r="U16" s="2"/>
    </row>
    <row r="17" spans="3:21" x14ac:dyDescent="0.25">
      <c r="C17" s="2"/>
      <c r="D17" s="1" t="s">
        <v>16</v>
      </c>
      <c r="E17" s="1"/>
      <c r="F17" s="1"/>
      <c r="G17" s="1"/>
      <c r="H17" s="1">
        <v>3</v>
      </c>
      <c r="I17" s="2"/>
      <c r="J17" s="1" t="s">
        <v>11</v>
      </c>
      <c r="K17" s="1"/>
      <c r="L17" s="1"/>
      <c r="M17" s="1"/>
      <c r="N17" s="1">
        <v>3</v>
      </c>
      <c r="O17" s="2"/>
      <c r="P17" s="1" t="s">
        <v>12</v>
      </c>
      <c r="Q17" s="1"/>
      <c r="R17" s="1"/>
      <c r="S17" s="1"/>
      <c r="T17" s="1">
        <v>4</v>
      </c>
      <c r="U17" s="2"/>
    </row>
    <row r="18" spans="3:21" x14ac:dyDescent="0.25">
      <c r="C18" s="2"/>
      <c r="D18" s="6" t="s">
        <v>5</v>
      </c>
      <c r="E18" s="1"/>
      <c r="F18" s="1"/>
      <c r="G18" s="1"/>
      <c r="H18" s="1">
        <f>H15+H16+H17</f>
        <v>15</v>
      </c>
      <c r="I18" s="2"/>
      <c r="J18" s="6" t="s">
        <v>5</v>
      </c>
      <c r="K18" s="1"/>
      <c r="L18" s="1"/>
      <c r="M18" s="1"/>
      <c r="N18" s="1">
        <f>N15+N16+N17</f>
        <v>7</v>
      </c>
      <c r="O18" s="2"/>
      <c r="P18" s="6" t="s">
        <v>5</v>
      </c>
      <c r="Q18" s="1"/>
      <c r="R18" s="1"/>
      <c r="S18" s="1"/>
      <c r="T18" s="7">
        <f>T15+T16+T17</f>
        <v>11</v>
      </c>
      <c r="U18" s="2"/>
    </row>
    <row r="19" spans="3:2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3:21" x14ac:dyDescent="0.2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3:21" x14ac:dyDescent="0.25">
      <c r="C21" s="2"/>
      <c r="D21" s="5" t="s">
        <v>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3:21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3:21" x14ac:dyDescent="0.2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3:21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3:21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3:21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3:21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3:21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3:21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3:21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3:2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3:21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3:21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3:21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3:21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3:21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3:21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3:21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3:21" x14ac:dyDescent="0.25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3:21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3:21" x14ac:dyDescent="0.25">
      <c r="C41" s="2"/>
      <c r="D41" s="5" t="s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3:21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3:21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3:21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3:21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3:21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3:21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3:21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3:21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3:21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3:21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3:21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3:21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3:21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3:21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3:21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3:21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3:21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3:21" x14ac:dyDescent="0.25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3:21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3:21" x14ac:dyDescent="0.25">
      <c r="C61" s="2"/>
      <c r="D61" s="5" t="s">
        <v>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3:2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3:21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3:21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3:21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3:21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3:21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3:21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3:21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3:21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3:21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3:21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3:21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3:21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3:21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3:21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3:21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3:21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</sheetData>
  <phoneticPr fontId="2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17AB-164F-441C-A77F-D7440DFB6AE1}">
  <dimension ref="A1:T18"/>
  <sheetViews>
    <sheetView tabSelected="1" topLeftCell="C1" zoomScaleNormal="100" workbookViewId="0">
      <selection activeCell="L37" sqref="L37"/>
    </sheetView>
  </sheetViews>
  <sheetFormatPr defaultRowHeight="15" x14ac:dyDescent="0.25"/>
  <cols>
    <col min="2" max="2" width="22" customWidth="1"/>
    <col min="8" max="8" width="11.5703125" customWidth="1"/>
    <col min="14" max="14" width="16.85546875" customWidth="1"/>
    <col min="20" max="20" width="85.140625" customWidth="1"/>
  </cols>
  <sheetData>
    <row r="1" spans="1:2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x14ac:dyDescent="0.25">
      <c r="A2" s="2"/>
      <c r="B2" s="4" t="s">
        <v>0</v>
      </c>
      <c r="C2" s="2"/>
      <c r="D2" s="2"/>
      <c r="E2" s="2"/>
      <c r="F2" s="2"/>
      <c r="G2" s="2"/>
      <c r="H2" s="4" t="s">
        <v>1</v>
      </c>
      <c r="I2" s="2"/>
      <c r="J2" s="2"/>
      <c r="K2" s="2"/>
      <c r="L2" s="2"/>
      <c r="M2" s="2"/>
      <c r="N2" s="4" t="s">
        <v>2</v>
      </c>
      <c r="O2" s="2"/>
      <c r="P2" s="2"/>
      <c r="Q2" s="2"/>
      <c r="R2" s="2"/>
      <c r="S2" s="2"/>
      <c r="T2" t="s">
        <v>7</v>
      </c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 x14ac:dyDescent="0.25">
      <c r="A4" s="2"/>
      <c r="B4" s="4" t="s">
        <v>3</v>
      </c>
      <c r="C4" s="3"/>
      <c r="D4" s="3"/>
      <c r="E4" s="3"/>
      <c r="F4" s="8"/>
      <c r="G4" s="2"/>
      <c r="H4" s="4" t="s">
        <v>3</v>
      </c>
      <c r="I4" s="3"/>
      <c r="J4" s="3"/>
      <c r="K4" s="3"/>
      <c r="L4" s="8"/>
      <c r="M4" s="2"/>
      <c r="N4" s="4" t="s">
        <v>3</v>
      </c>
      <c r="O4" s="3"/>
      <c r="P4" s="3"/>
      <c r="Q4" s="3"/>
      <c r="R4" s="8"/>
      <c r="S4" s="2"/>
    </row>
    <row r="5" spans="1:20" x14ac:dyDescent="0.25">
      <c r="A5" s="2"/>
      <c r="B5" s="1" t="s">
        <v>8</v>
      </c>
      <c r="C5" s="1"/>
      <c r="D5" s="1"/>
      <c r="E5" s="1"/>
      <c r="F5" s="1">
        <v>28800</v>
      </c>
      <c r="G5" s="2"/>
      <c r="H5" s="1" t="s">
        <v>9</v>
      </c>
      <c r="I5" s="1"/>
      <c r="J5" s="1"/>
      <c r="K5" s="1"/>
      <c r="L5" s="1">
        <v>14400</v>
      </c>
      <c r="M5" s="2"/>
      <c r="N5" s="1" t="s">
        <v>14</v>
      </c>
      <c r="O5" s="1"/>
      <c r="P5" s="1"/>
      <c r="Q5" s="1"/>
      <c r="R5" s="1">
        <v>14400</v>
      </c>
      <c r="S5" s="2"/>
    </row>
    <row r="6" spans="1:20" x14ac:dyDescent="0.25">
      <c r="A6" s="2"/>
      <c r="B6" s="1" t="s">
        <v>15</v>
      </c>
      <c r="C6" s="1"/>
      <c r="D6" s="1"/>
      <c r="E6" s="1"/>
      <c r="F6" s="1">
        <v>19620</v>
      </c>
      <c r="G6" s="2"/>
      <c r="H6" s="1" t="s">
        <v>10</v>
      </c>
      <c r="I6" s="1"/>
      <c r="J6" s="1"/>
      <c r="K6" s="1"/>
      <c r="L6" s="1">
        <v>77400</v>
      </c>
      <c r="M6" s="2"/>
      <c r="N6" s="1" t="s">
        <v>13</v>
      </c>
      <c r="O6" s="1"/>
      <c r="P6" s="1"/>
      <c r="Q6" s="1"/>
      <c r="R6" s="1"/>
      <c r="S6" s="2"/>
    </row>
    <row r="7" spans="1:20" x14ac:dyDescent="0.25">
      <c r="A7" s="2"/>
      <c r="B7" s="1" t="s">
        <v>16</v>
      </c>
      <c r="C7" s="1"/>
      <c r="D7" s="1"/>
      <c r="E7" s="1"/>
      <c r="F7" s="1">
        <v>7200</v>
      </c>
      <c r="G7" s="2"/>
      <c r="H7" s="1" t="s">
        <v>11</v>
      </c>
      <c r="I7" s="1"/>
      <c r="J7" s="1"/>
      <c r="K7" s="1"/>
      <c r="L7" s="1">
        <v>10800</v>
      </c>
      <c r="M7" s="2"/>
      <c r="N7" s="1" t="s">
        <v>12</v>
      </c>
      <c r="O7" s="1"/>
      <c r="P7" s="1"/>
      <c r="Q7" s="1"/>
      <c r="R7" s="1">
        <v>25740</v>
      </c>
      <c r="S7" s="2"/>
    </row>
    <row r="8" spans="1:20" x14ac:dyDescent="0.25">
      <c r="A8" s="2"/>
      <c r="B8" s="10"/>
      <c r="C8" s="2"/>
      <c r="D8" s="2"/>
      <c r="E8" s="2"/>
      <c r="F8" s="2"/>
      <c r="G8" s="2"/>
      <c r="H8" s="10"/>
      <c r="I8" s="2"/>
      <c r="J8" s="2"/>
      <c r="K8" s="2"/>
      <c r="L8" s="2"/>
      <c r="M8" s="2"/>
      <c r="N8" s="10"/>
      <c r="O8" s="2"/>
      <c r="P8" s="2"/>
      <c r="Q8" s="2"/>
      <c r="R8" s="2"/>
      <c r="S8" s="2"/>
    </row>
    <row r="9" spans="1:2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0" x14ac:dyDescent="0.25">
      <c r="A13" s="2"/>
      <c r="B13" s="4" t="s">
        <v>4</v>
      </c>
      <c r="C13" s="3"/>
      <c r="D13" s="3"/>
      <c r="E13" s="3"/>
      <c r="F13" s="8"/>
      <c r="G13" s="2"/>
      <c r="H13" s="4" t="s">
        <v>4</v>
      </c>
      <c r="I13" s="3"/>
      <c r="J13" s="3"/>
      <c r="K13" s="3"/>
      <c r="L13" s="8"/>
      <c r="M13" s="2"/>
      <c r="N13" s="4" t="s">
        <v>4</v>
      </c>
      <c r="O13" s="3"/>
      <c r="P13" s="3"/>
      <c r="Q13" s="3"/>
      <c r="R13" s="8"/>
      <c r="S13" s="2"/>
    </row>
    <row r="14" spans="1:20" x14ac:dyDescent="0.25">
      <c r="A14" s="2"/>
      <c r="B14" s="1" t="s">
        <v>8</v>
      </c>
      <c r="C14" s="1"/>
      <c r="D14" s="1"/>
      <c r="E14" s="1"/>
      <c r="F14" s="1">
        <v>103</v>
      </c>
      <c r="G14" s="2"/>
      <c r="H14" s="1" t="s">
        <v>9</v>
      </c>
      <c r="I14" s="1"/>
      <c r="J14" s="1"/>
      <c r="K14" s="1"/>
      <c r="L14" s="1">
        <v>19</v>
      </c>
      <c r="M14" s="2"/>
      <c r="N14" s="1" t="s">
        <v>14</v>
      </c>
      <c r="O14" s="1"/>
      <c r="P14" s="1"/>
      <c r="Q14" s="1"/>
      <c r="R14" s="1">
        <v>157</v>
      </c>
      <c r="S14" s="2"/>
    </row>
    <row r="15" spans="1:20" x14ac:dyDescent="0.25">
      <c r="A15" s="2"/>
      <c r="B15" s="1" t="s">
        <v>15</v>
      </c>
      <c r="C15" s="1"/>
      <c r="D15" s="1"/>
      <c r="E15" s="1"/>
      <c r="F15" s="1">
        <v>81</v>
      </c>
      <c r="G15" s="2"/>
      <c r="H15" s="1" t="s">
        <v>10</v>
      </c>
      <c r="I15" s="1"/>
      <c r="J15" s="1"/>
      <c r="K15" s="1"/>
      <c r="L15" s="1">
        <v>37</v>
      </c>
      <c r="M15" s="2"/>
      <c r="N15" s="1" t="s">
        <v>13</v>
      </c>
      <c r="O15" s="1"/>
      <c r="P15" s="1"/>
      <c r="Q15" s="1"/>
      <c r="R15" s="1">
        <v>115</v>
      </c>
      <c r="S15" s="2"/>
    </row>
    <row r="16" spans="1:20" x14ac:dyDescent="0.25">
      <c r="A16" s="2"/>
      <c r="B16" s="1" t="s">
        <v>16</v>
      </c>
      <c r="C16" s="1"/>
      <c r="D16" s="1"/>
      <c r="E16" s="1"/>
      <c r="F16" s="1">
        <v>99</v>
      </c>
      <c r="G16" s="2"/>
      <c r="H16" s="1" t="s">
        <v>11</v>
      </c>
      <c r="I16" s="1"/>
      <c r="J16" s="1"/>
      <c r="K16" s="1"/>
      <c r="L16" s="1">
        <v>45</v>
      </c>
      <c r="M16" s="2"/>
      <c r="N16" s="1" t="s">
        <v>12</v>
      </c>
      <c r="O16" s="1"/>
      <c r="P16" s="1"/>
      <c r="Q16" s="1"/>
      <c r="R16" s="1">
        <v>137</v>
      </c>
      <c r="S16" s="2"/>
    </row>
    <row r="17" spans="1:19" x14ac:dyDescent="0.25">
      <c r="A17" s="2"/>
      <c r="B17" s="10"/>
      <c r="C17" s="2"/>
      <c r="D17" s="2"/>
      <c r="E17" s="2"/>
      <c r="F17" s="2"/>
      <c r="G17" s="2"/>
      <c r="H17" s="10"/>
      <c r="I17" s="2"/>
      <c r="J17" s="2"/>
      <c r="K17" s="2"/>
      <c r="L17" s="2"/>
      <c r="M17" s="2"/>
      <c r="N17" s="10"/>
      <c r="O17" s="2"/>
      <c r="P17" s="2"/>
      <c r="Q17" s="2"/>
      <c r="R17" s="2"/>
      <c r="S17" s="2"/>
    </row>
    <row r="18" spans="1:1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 vs AI v1</vt:lpstr>
      <vt:lpstr>Human vs AI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davies</dc:creator>
  <cp:lastModifiedBy>Dave Sushames</cp:lastModifiedBy>
  <dcterms:created xsi:type="dcterms:W3CDTF">2026-10-07T01:40:28Z</dcterms:created>
  <dcterms:modified xsi:type="dcterms:W3CDTF">2026-10-20T04:12:11Z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2026-10-20T02:20:35Z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0f66d747-bdce-4fd8-bcfa-576902404d30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