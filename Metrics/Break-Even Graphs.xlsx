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2shared-my.sharepoint.com/personal/dave_sushames01_student_wandw_ac_nz/Documents/Documents/Capstone/Metrics/"/>
    </mc:Choice>
  </mc:AlternateContent>
  <xr:revisionPtr revIDLastSave="128" documentId="13_ncr:1_{9B12405A-E811-4AF6-99FE-4D99CF93FFE5}" xr6:coauthVersionLast="47" xr6:coauthVersionMax="47" xr10:uidLastSave="{8853E508-F918-43D6-9C6C-1725FFB7DDEC}"/>
  <bookViews>
    <workbookView xWindow="-28920" yWindow="165" windowWidth="29040" windowHeight="15840" tabRatio="846" xr2:uid="{72DB8043-9B22-441A-BCD0-4EB4CA42FDB6}"/>
  </bookViews>
  <sheets>
    <sheet name="Break-Even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8" i="4" l="1"/>
  <c r="C39" i="4"/>
  <c r="C40" i="4"/>
  <c r="C41" i="4"/>
  <c r="C42" i="4"/>
  <c r="C43" i="4"/>
  <c r="C44" i="4"/>
  <c r="C45" i="4"/>
  <c r="C46" i="4"/>
  <c r="C47" i="4"/>
  <c r="B38" i="4"/>
  <c r="B39" i="4"/>
  <c r="B40" i="4"/>
  <c r="B41" i="4"/>
  <c r="B42" i="4"/>
  <c r="B43" i="4"/>
  <c r="B44" i="4"/>
  <c r="B45" i="4"/>
  <c r="B46" i="4"/>
  <c r="B47" i="4"/>
  <c r="C37" i="4"/>
  <c r="B37" i="4"/>
  <c r="C24" i="4"/>
  <c r="C25" i="4"/>
  <c r="C26" i="4"/>
  <c r="C27" i="4"/>
  <c r="C28" i="4"/>
  <c r="C29" i="4"/>
  <c r="C30" i="4"/>
  <c r="C31" i="4"/>
  <c r="C32" i="4"/>
  <c r="C33" i="4"/>
  <c r="B24" i="4"/>
  <c r="B25" i="4"/>
  <c r="B26" i="4"/>
  <c r="B27" i="4"/>
  <c r="B28" i="4"/>
  <c r="B29" i="4"/>
  <c r="B30" i="4"/>
  <c r="B31" i="4"/>
  <c r="B32" i="4"/>
  <c r="B33" i="4"/>
  <c r="C23" i="4"/>
  <c r="B23" i="4"/>
  <c r="B11" i="4"/>
  <c r="C10" i="4"/>
  <c r="C11" i="4"/>
  <c r="C12" i="4"/>
  <c r="C13" i="4"/>
  <c r="C14" i="4"/>
  <c r="C15" i="4"/>
  <c r="C16" i="4"/>
  <c r="C17" i="4"/>
  <c r="C18" i="4"/>
  <c r="C19" i="4"/>
  <c r="C9" i="4"/>
  <c r="B10" i="4"/>
  <c r="B12" i="4"/>
  <c r="B13" i="4"/>
  <c r="B14" i="4"/>
  <c r="B15" i="4"/>
  <c r="B16" i="4"/>
  <c r="B17" i="4"/>
  <c r="B18" i="4"/>
  <c r="B19" i="4"/>
  <c r="B9" i="4"/>
  <c r="C5" i="4"/>
  <c r="D5" i="4"/>
  <c r="B5" i="4"/>
</calcChain>
</file>

<file path=xl/sharedStrings.xml><?xml version="1.0" encoding="utf-8"?>
<sst xmlns="http://schemas.openxmlformats.org/spreadsheetml/2006/main" count="19" uniqueCount="13">
  <si>
    <t>NMAP</t>
  </si>
  <si>
    <t>FOREMOST</t>
  </si>
  <si>
    <t>WIRESHARK</t>
  </si>
  <si>
    <t>Foremost</t>
  </si>
  <si>
    <t>Nmap</t>
  </si>
  <si>
    <t>Wireshark</t>
  </si>
  <si>
    <t>Human Avg</t>
  </si>
  <si>
    <t>AI Avg</t>
  </si>
  <si>
    <t>Setup (AI)</t>
  </si>
  <si>
    <t>Break-even</t>
  </si>
  <si>
    <t>Reports</t>
  </si>
  <si>
    <t>AI+setup (hrs)</t>
  </si>
  <si>
    <t>Human (hrs)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</si>
</sst>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Foremost Break-Even chart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'Break-Even'!$B$8</c:f>
              <c:strCache>
                <c:ptCount val="1"/>
                <c:pt idx="0">
                  <c:v>Human (hrs)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'Break-Even'!$A$9:$A$19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'Break-Even'!$B$9:$B$19</c:f>
              <c:numCache>
                <c:formatCode>General</c:formatCode>
                <c:ptCount val="11"/>
                <c:pt idx="0">
                  <c:v>0</c:v>
                </c:pt>
                <c:pt idx="1">
                  <c:v>9.5</c:v>
                </c:pt>
                <c:pt idx="2">
                  <c:v>19</c:v>
                </c:pt>
                <c:pt idx="3">
                  <c:v>28.5</c:v>
                </c:pt>
                <c:pt idx="4">
                  <c:v>38</c:v>
                </c:pt>
                <c:pt idx="5">
                  <c:v>47.5</c:v>
                </c:pt>
                <c:pt idx="6">
                  <c:v>57</c:v>
                </c:pt>
                <c:pt idx="7">
                  <c:v>66.5</c:v>
                </c:pt>
                <c:pt idx="8">
                  <c:v>76</c:v>
                </c:pt>
                <c:pt idx="9">
                  <c:v>85.5</c:v>
                </c:pt>
                <c:pt idx="10">
                  <c:v>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7D-4605-A887-929FEA8F4090}"/>
            </c:ext>
          </c:extLst>
        </c:ser>
        <c:ser>
          <c:idx val="1"/>
          <c:order val="1"/>
          <c:tx>
            <c:strRef>
              <c:f>'Break-Even'!$C$8</c:f>
              <c:strCache>
                <c:ptCount val="1"/>
                <c:pt idx="0">
                  <c:v>AI+setup (hrs)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'Break-Even'!$A$9:$A$19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'Break-Even'!$C$9:$C$19</c:f>
              <c:numCache>
                <c:formatCode>General</c:formatCode>
                <c:ptCount val="11"/>
                <c:pt idx="0">
                  <c:v>31.5</c:v>
                </c:pt>
                <c:pt idx="1">
                  <c:v>31.509352777777778</c:v>
                </c:pt>
                <c:pt idx="2">
                  <c:v>31.518705555555556</c:v>
                </c:pt>
                <c:pt idx="3">
                  <c:v>31.52805833333333</c:v>
                </c:pt>
                <c:pt idx="4">
                  <c:v>31.537411111111108</c:v>
                </c:pt>
                <c:pt idx="5">
                  <c:v>31.54676388888889</c:v>
                </c:pt>
                <c:pt idx="6">
                  <c:v>31.556116666666668</c:v>
                </c:pt>
                <c:pt idx="7">
                  <c:v>31.565469444444446</c:v>
                </c:pt>
                <c:pt idx="8">
                  <c:v>31.574822222222224</c:v>
                </c:pt>
                <c:pt idx="9">
                  <c:v>31.584174999999998</c:v>
                </c:pt>
                <c:pt idx="10">
                  <c:v>31.593527777777776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7D-4605-A887-929FEA8F40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4312128"/>
        <c:axId val="2016642048"/>
      </c:scatterChart>
      <c:valAx>
        <c:axId val="2024312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Reports Produced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642048"/>
        <c:crosses val="autoZero"/>
        <c:crossBetween val="midCat"/>
      </c:valAx>
      <c:valAx>
        <c:axId val="201664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Hours taken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312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Nmap Break-Even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'Break-Even'!$B$22</c:f>
              <c:strCache>
                <c:ptCount val="1"/>
                <c:pt idx="0">
                  <c:v>Human (hrs)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'Break-Even'!$A$23:$A$33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'Break-Even'!$B$23:$B$33</c:f>
              <c:numCache>
                <c:formatCode>General</c:formatCode>
                <c:ptCount val="11"/>
                <c:pt idx="0">
                  <c:v>0</c:v>
                </c:pt>
                <c:pt idx="1">
                  <c:v>5.15</c:v>
                </c:pt>
                <c:pt idx="2">
                  <c:v>10.3</c:v>
                </c:pt>
                <c:pt idx="3">
                  <c:v>15.45</c:v>
                </c:pt>
                <c:pt idx="4">
                  <c:v>20.6</c:v>
                </c:pt>
                <c:pt idx="5">
                  <c:v>25.75</c:v>
                </c:pt>
                <c:pt idx="6">
                  <c:v>30.9</c:v>
                </c:pt>
                <c:pt idx="7">
                  <c:v>36.049999999999997</c:v>
                </c:pt>
                <c:pt idx="8">
                  <c:v>41.2</c:v>
                </c:pt>
                <c:pt idx="9">
                  <c:v>46.35</c:v>
                </c:pt>
                <c:pt idx="10">
                  <c:v>51.5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A2-4B2A-8C18-F9154CB39E12}"/>
            </c:ext>
          </c:extLst>
        </c:ser>
        <c:ser>
          <c:idx val="1"/>
          <c:order val="1"/>
          <c:tx>
            <c:strRef>
              <c:f>'Break-Even'!$C$22</c:f>
              <c:strCache>
                <c:ptCount val="1"/>
                <c:pt idx="0">
                  <c:v>AI+setup (hrs)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'Break-Even'!$A$23:$A$33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'Break-Even'!$C$23:$C$33</c:f>
              <c:numCache>
                <c:formatCode>General</c:formatCode>
                <c:ptCount val="11"/>
                <c:pt idx="0">
                  <c:v>19</c:v>
                </c:pt>
                <c:pt idx="1">
                  <c:v>19.02620277777778</c:v>
                </c:pt>
                <c:pt idx="2">
                  <c:v>19.052405555555556</c:v>
                </c:pt>
                <c:pt idx="3">
                  <c:v>19.078608333333335</c:v>
                </c:pt>
                <c:pt idx="4">
                  <c:v>19.104811111111115</c:v>
                </c:pt>
                <c:pt idx="5">
                  <c:v>19.131013888888887</c:v>
                </c:pt>
                <c:pt idx="6">
                  <c:v>19.157216666666667</c:v>
                </c:pt>
                <c:pt idx="7">
                  <c:v>19.183419444444443</c:v>
                </c:pt>
                <c:pt idx="8">
                  <c:v>19.209622222222222</c:v>
                </c:pt>
                <c:pt idx="9">
                  <c:v>19.235825000000002</c:v>
                </c:pt>
                <c:pt idx="10">
                  <c:v>19.262027777777778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A2-4B2A-8C18-F9154CB39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8347519"/>
        <c:axId val="1963447744"/>
      </c:scatterChart>
      <c:valAx>
        <c:axId val="638347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Reports Produced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447744"/>
        <c:crosses val="autoZero"/>
        <c:crossBetween val="midCat"/>
      </c:valAx>
      <c:valAx>
        <c:axId val="196344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Hours taken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3475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Wireshark Break-Even chart</a:t>
            </a:r>
            <a:endParaRPr lang="en-N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'Break-Even'!$B$36</c:f>
              <c:strCache>
                <c:ptCount val="1"/>
                <c:pt idx="0">
                  <c:v>Human (hrs)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'Break-Even'!$A$37:$A$47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'Break-Even'!$B$37:$B$47</c:f>
              <c:numCache>
                <c:formatCode>General</c:formatCode>
                <c:ptCount val="11"/>
                <c:pt idx="0">
                  <c:v>0</c:v>
                </c:pt>
                <c:pt idx="1">
                  <c:v>10.050000000000001</c:v>
                </c:pt>
                <c:pt idx="2">
                  <c:v>20.100000000000001</c:v>
                </c:pt>
                <c:pt idx="3">
                  <c:v>30.15</c:v>
                </c:pt>
                <c:pt idx="4">
                  <c:v>40.200000000000003</c:v>
                </c:pt>
                <c:pt idx="5">
                  <c:v>50.25</c:v>
                </c:pt>
                <c:pt idx="6">
                  <c:v>60.3</c:v>
                </c:pt>
                <c:pt idx="7">
                  <c:v>70.349999999999994</c:v>
                </c:pt>
                <c:pt idx="8">
                  <c:v>80.400000000000006</c:v>
                </c:pt>
                <c:pt idx="9">
                  <c:v>90.45</c:v>
                </c:pt>
                <c:pt idx="10">
                  <c:v>100.5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6F-4651-A334-A9F3E992AA8E}"/>
            </c:ext>
          </c:extLst>
        </c:ser>
        <c:ser>
          <c:idx val="1"/>
          <c:order val="1"/>
          <c:tx>
            <c:strRef>
              <c:f>'Break-Even'!$C$36</c:f>
              <c:strCache>
                <c:ptCount val="1"/>
                <c:pt idx="0">
                  <c:v>AI+setup (hrs)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'Break-Even'!$A$37:$A$47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'Break-Even'!$C$37:$C$47</c:f>
              <c:numCache>
                <c:formatCode>General</c:formatCode>
                <c:ptCount val="11"/>
                <c:pt idx="0">
                  <c:v>13</c:v>
                </c:pt>
                <c:pt idx="1">
                  <c:v>13.037869444444445</c:v>
                </c:pt>
                <c:pt idx="2">
                  <c:v>13.075738888888889</c:v>
                </c:pt>
                <c:pt idx="3">
                  <c:v>13.113608333333334</c:v>
                </c:pt>
                <c:pt idx="4">
                  <c:v>13.151477777777778</c:v>
                </c:pt>
                <c:pt idx="5">
                  <c:v>13.189347222222223</c:v>
                </c:pt>
                <c:pt idx="6">
                  <c:v>13.227216666666667</c:v>
                </c:pt>
                <c:pt idx="7">
                  <c:v>13.26508611111111</c:v>
                </c:pt>
                <c:pt idx="8">
                  <c:v>13.302955555555556</c:v>
                </c:pt>
                <c:pt idx="9">
                  <c:v>13.340825000000001</c:v>
                </c:pt>
                <c:pt idx="10">
                  <c:v>13.378694444444445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6F-4651-A334-A9F3E992A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188287"/>
        <c:axId val="2016643008"/>
      </c:scatterChart>
      <c:valAx>
        <c:axId val="509188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Reports Produced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643008"/>
        <c:crosses val="autoZero"/>
        <c:crossBetween val="midCat"/>
      </c:valAx>
      <c:valAx>
        <c:axId val="201664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Hours taken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18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275587</xdr:colOff>
      <xdr:row>4</xdr:row>
      <xdr:rowOff>101590</xdr:rowOff>
    </xdr:from>
    <xdr:to>
      <xdr:col>11</xdr:col>
      <xdr:colOff>578188</xdr:colOff>
      <xdr:row>18</xdr:row>
      <xdr:rowOff>177790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7E9D38-859B-1C99-B4E0-7C77FE1AE8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238125</xdr:colOff>
      <xdr:row>19</xdr:row>
      <xdr:rowOff>185737</xdr:rowOff>
    </xdr:from>
    <xdr:to>
      <xdr:col>11</xdr:col>
      <xdr:colOff>542925</xdr:colOff>
      <xdr:row>34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A59E03-4D8E-48CE-97B1-8267EB2C4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233362</xdr:colOff>
      <xdr:row>35</xdr:row>
      <xdr:rowOff>109537</xdr:rowOff>
    </xdr:from>
    <xdr:to>
      <xdr:col>11</xdr:col>
      <xdr:colOff>538162</xdr:colOff>
      <xdr:row>49</xdr:row>
      <xdr:rowOff>185737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4FF2BC9-6360-275C-93FD-2EFE5D2245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EBB12-0F36-4113-9F1A-DF69764B9290}">
  <dimension ref="A1:D47"/>
  <sheetViews>
    <sheetView tabSelected="1" zoomScaleNormal="100" workbookViewId="0">
      <selection activeCell="P24" sqref="P24"/>
    </sheetView>
  </sheetViews>
  <sheetFormatPr defaultRowHeight="15" x14ac:dyDescent="0.25"/>
  <cols>
    <col min="1" max="1" width="13.28515625" customWidth="1"/>
    <col min="2" max="2" width="12.85546875" customWidth="1"/>
    <col min="3" max="3" width="13.140625" customWidth="1"/>
    <col min="4" max="4" width="12.7109375" customWidth="1"/>
  </cols>
  <sheetData>
    <row r="1" spans="1:4" x14ac:dyDescent="0.25">
      <c r="B1" s="1" t="s">
        <v>3</v>
      </c>
      <c r="C1" s="1" t="s">
        <v>4</v>
      </c>
      <c r="D1" s="1" t="s">
        <v>5</v>
      </c>
    </row>
    <row r="2" spans="1:4" x14ac:dyDescent="0.25">
      <c r="A2" s="1" t="s">
        <v>6</v>
      </c>
      <c r="B2">
        <v>34200</v>
      </c>
      <c r="C2">
        <v>18540</v>
      </c>
      <c r="D2">
        <v>36180</v>
      </c>
    </row>
    <row r="3" spans="1:4" x14ac:dyDescent="0.25">
      <c r="A3" s="1" t="s">
        <v>7</v>
      </c>
      <c r="B3">
        <v>33.67</v>
      </c>
      <c r="C3">
        <v>94.33</v>
      </c>
      <c r="D3">
        <v>136.33000000000001</v>
      </c>
    </row>
    <row r="4" spans="1:4" x14ac:dyDescent="0.25">
      <c r="A4" s="1" t="s">
        <v>8</v>
      </c>
      <c r="B4">
        <v>113400</v>
      </c>
      <c r="C4">
        <v>68400</v>
      </c>
      <c r="D4">
        <v>46800</v>
      </c>
    </row>
    <row r="5" spans="1:4" x14ac:dyDescent="0.25">
      <c r="A5" s="1" t="s">
        <v>9</v>
      </c>
      <c r="B5">
        <f>B4/(B2-B3)</f>
        <v>3.3190570950991809</v>
      </c>
      <c r="C5">
        <f t="shared" ref="C5:D5" si="0">C4/(C2-C3)</f>
        <v>3.7081873415278492</v>
      </c>
      <c r="D5">
        <f t="shared" si="0"/>
        <v>1.298424938414984</v>
      </c>
    </row>
    <row r="7" spans="1:4" x14ac:dyDescent="0.25">
      <c r="A7" s="1" t="s">
        <v>1</v>
      </c>
    </row>
    <row r="8" spans="1:4" x14ac:dyDescent="0.25">
      <c r="A8" s="1" t="s">
        <v>10</v>
      </c>
      <c r="B8" s="1" t="s">
        <v>12</v>
      </c>
      <c r="C8" s="1" t="s">
        <v>11</v>
      </c>
    </row>
    <row r="9" spans="1:4" x14ac:dyDescent="0.25">
      <c r="A9">
        <v>0</v>
      </c>
      <c r="B9">
        <f>A9*$B$2/3600</f>
        <v>0</v>
      </c>
      <c r="C9">
        <f>($B$4+A9*$B$3)/3600</f>
        <v>31.5</v>
      </c>
    </row>
    <row r="10" spans="1:4" x14ac:dyDescent="0.25">
      <c r="A10">
        <v>1</v>
      </c>
      <c r="B10">
        <f t="shared" ref="B10:B19" si="1">A10*$B$2/3600</f>
        <v>9.5</v>
      </c>
      <c r="C10">
        <f t="shared" ref="C10:C19" si="2">($B$4+A10*$B$3)/3600</f>
        <v>31.509352777777778</v>
      </c>
    </row>
    <row r="11" spans="1:4" x14ac:dyDescent="0.25">
      <c r="A11">
        <v>2</v>
      </c>
      <c r="B11">
        <f>A11*$B$2/3600</f>
        <v>19</v>
      </c>
      <c r="C11">
        <f t="shared" si="2"/>
        <v>31.518705555555556</v>
      </c>
    </row>
    <row r="12" spans="1:4" x14ac:dyDescent="0.25">
      <c r="A12">
        <v>3</v>
      </c>
      <c r="B12">
        <f t="shared" si="1"/>
        <v>28.5</v>
      </c>
      <c r="C12">
        <f t="shared" si="2"/>
        <v>31.52805833333333</v>
      </c>
    </row>
    <row r="13" spans="1:4" x14ac:dyDescent="0.25">
      <c r="A13">
        <v>4</v>
      </c>
      <c r="B13">
        <f t="shared" si="1"/>
        <v>38</v>
      </c>
      <c r="C13">
        <f t="shared" si="2"/>
        <v>31.537411111111108</v>
      </c>
    </row>
    <row r="14" spans="1:4" x14ac:dyDescent="0.25">
      <c r="A14">
        <v>5</v>
      </c>
      <c r="B14">
        <f t="shared" si="1"/>
        <v>47.5</v>
      </c>
      <c r="C14">
        <f t="shared" si="2"/>
        <v>31.54676388888889</v>
      </c>
    </row>
    <row r="15" spans="1:4" x14ac:dyDescent="0.25">
      <c r="A15">
        <v>6</v>
      </c>
      <c r="B15">
        <f t="shared" si="1"/>
        <v>57</v>
      </c>
      <c r="C15">
        <f t="shared" si="2"/>
        <v>31.556116666666668</v>
      </c>
    </row>
    <row r="16" spans="1:4" x14ac:dyDescent="0.25">
      <c r="A16">
        <v>7</v>
      </c>
      <c r="B16">
        <f t="shared" si="1"/>
        <v>66.5</v>
      </c>
      <c r="C16">
        <f t="shared" si="2"/>
        <v>31.565469444444446</v>
      </c>
    </row>
    <row r="17" spans="1:3" x14ac:dyDescent="0.25">
      <c r="A17">
        <v>8</v>
      </c>
      <c r="B17">
        <f t="shared" si="1"/>
        <v>76</v>
      </c>
      <c r="C17">
        <f t="shared" si="2"/>
        <v>31.574822222222224</v>
      </c>
    </row>
    <row r="18" spans="1:3" x14ac:dyDescent="0.25">
      <c r="A18">
        <v>9</v>
      </c>
      <c r="B18">
        <f t="shared" si="1"/>
        <v>85.5</v>
      </c>
      <c r="C18">
        <f t="shared" si="2"/>
        <v>31.584174999999998</v>
      </c>
    </row>
    <row r="19" spans="1:3" x14ac:dyDescent="0.25">
      <c r="A19">
        <v>10</v>
      </c>
      <c r="B19">
        <f t="shared" si="1"/>
        <v>95</v>
      </c>
      <c r="C19">
        <f t="shared" si="2"/>
        <v>31.593527777777776</v>
      </c>
    </row>
    <row r="21" spans="1:3" x14ac:dyDescent="0.25">
      <c r="A21" s="1" t="s">
        <v>0</v>
      </c>
    </row>
    <row r="22" spans="1:3" x14ac:dyDescent="0.25">
      <c r="A22" s="1" t="s">
        <v>10</v>
      </c>
      <c r="B22" s="1" t="s">
        <v>12</v>
      </c>
      <c r="C22" s="1" t="s">
        <v>11</v>
      </c>
    </row>
    <row r="23" spans="1:3" x14ac:dyDescent="0.25">
      <c r="A23">
        <v>0</v>
      </c>
      <c r="B23">
        <f>A23*$C$2/3600</f>
        <v>0</v>
      </c>
      <c r="C23">
        <f>($C$4+A23*$C$3)/3600</f>
        <v>19</v>
      </c>
    </row>
    <row r="24" spans="1:3" x14ac:dyDescent="0.25">
      <c r="A24">
        <v>1</v>
      </c>
      <c r="B24">
        <f t="shared" ref="B24:B33" si="3">A24*$C$2/3600</f>
        <v>5.15</v>
      </c>
      <c r="C24">
        <f t="shared" ref="C24:C33" si="4">($C$4+A24*$C$3)/3600</f>
        <v>19.02620277777778</v>
      </c>
    </row>
    <row r="25" spans="1:3" x14ac:dyDescent="0.25">
      <c r="A25">
        <v>2</v>
      </c>
      <c r="B25">
        <f t="shared" si="3"/>
        <v>10.3</v>
      </c>
      <c r="C25">
        <f t="shared" si="4"/>
        <v>19.052405555555556</v>
      </c>
    </row>
    <row r="26" spans="1:3" x14ac:dyDescent="0.25">
      <c r="A26">
        <v>3</v>
      </c>
      <c r="B26">
        <f t="shared" si="3"/>
        <v>15.45</v>
      </c>
      <c r="C26">
        <f t="shared" si="4"/>
        <v>19.078608333333335</v>
      </c>
    </row>
    <row r="27" spans="1:3" x14ac:dyDescent="0.25">
      <c r="A27">
        <v>4</v>
      </c>
      <c r="B27">
        <f t="shared" si="3"/>
        <v>20.6</v>
      </c>
      <c r="C27">
        <f t="shared" si="4"/>
        <v>19.104811111111115</v>
      </c>
    </row>
    <row r="28" spans="1:3" x14ac:dyDescent="0.25">
      <c r="A28">
        <v>5</v>
      </c>
      <c r="B28">
        <f t="shared" si="3"/>
        <v>25.75</v>
      </c>
      <c r="C28">
        <f t="shared" si="4"/>
        <v>19.131013888888887</v>
      </c>
    </row>
    <row r="29" spans="1:3" x14ac:dyDescent="0.25">
      <c r="A29">
        <v>6</v>
      </c>
      <c r="B29">
        <f t="shared" si="3"/>
        <v>30.9</v>
      </c>
      <c r="C29">
        <f t="shared" si="4"/>
        <v>19.157216666666667</v>
      </c>
    </row>
    <row r="30" spans="1:3" x14ac:dyDescent="0.25">
      <c r="A30">
        <v>7</v>
      </c>
      <c r="B30">
        <f t="shared" si="3"/>
        <v>36.049999999999997</v>
      </c>
      <c r="C30">
        <f t="shared" si="4"/>
        <v>19.183419444444443</v>
      </c>
    </row>
    <row r="31" spans="1:3" x14ac:dyDescent="0.25">
      <c r="A31">
        <v>8</v>
      </c>
      <c r="B31">
        <f t="shared" si="3"/>
        <v>41.2</v>
      </c>
      <c r="C31">
        <f t="shared" si="4"/>
        <v>19.209622222222222</v>
      </c>
    </row>
    <row r="32" spans="1:3" x14ac:dyDescent="0.25">
      <c r="A32">
        <v>9</v>
      </c>
      <c r="B32">
        <f t="shared" si="3"/>
        <v>46.35</v>
      </c>
      <c r="C32">
        <f t="shared" si="4"/>
        <v>19.235825000000002</v>
      </c>
    </row>
    <row r="33" spans="1:3" x14ac:dyDescent="0.25">
      <c r="A33">
        <v>10</v>
      </c>
      <c r="B33">
        <f t="shared" si="3"/>
        <v>51.5</v>
      </c>
      <c r="C33">
        <f t="shared" si="4"/>
        <v>19.262027777777778</v>
      </c>
    </row>
    <row r="35" spans="1:3" x14ac:dyDescent="0.25">
      <c r="A35" s="1" t="s">
        <v>2</v>
      </c>
    </row>
    <row r="36" spans="1:3" x14ac:dyDescent="0.25">
      <c r="A36" s="1" t="s">
        <v>10</v>
      </c>
      <c r="B36" s="1" t="s">
        <v>12</v>
      </c>
      <c r="C36" s="1" t="s">
        <v>11</v>
      </c>
    </row>
    <row r="37" spans="1:3" x14ac:dyDescent="0.25">
      <c r="A37">
        <v>0</v>
      </c>
      <c r="B37">
        <f>A37*$D$2/3600</f>
        <v>0</v>
      </c>
      <c r="C37">
        <f>($D$4+A37*$D$3)/3600</f>
        <v>13</v>
      </c>
    </row>
    <row r="38" spans="1:3" x14ac:dyDescent="0.25">
      <c r="A38">
        <v>1</v>
      </c>
      <c r="B38">
        <f t="shared" ref="B38:B47" si="5">A38*$D$2/3600</f>
        <v>10.050000000000001</v>
      </c>
      <c r="C38">
        <f t="shared" ref="C38:C47" si="6">($D$4+A38*$D$3)/3600</f>
        <v>13.037869444444445</v>
      </c>
    </row>
    <row r="39" spans="1:3" x14ac:dyDescent="0.25">
      <c r="A39">
        <v>2</v>
      </c>
      <c r="B39">
        <f t="shared" si="5"/>
        <v>20.100000000000001</v>
      </c>
      <c r="C39">
        <f t="shared" si="6"/>
        <v>13.075738888888889</v>
      </c>
    </row>
    <row r="40" spans="1:3" x14ac:dyDescent="0.25">
      <c r="A40">
        <v>3</v>
      </c>
      <c r="B40">
        <f t="shared" si="5"/>
        <v>30.15</v>
      </c>
      <c r="C40">
        <f t="shared" si="6"/>
        <v>13.113608333333334</v>
      </c>
    </row>
    <row r="41" spans="1:3" x14ac:dyDescent="0.25">
      <c r="A41">
        <v>4</v>
      </c>
      <c r="B41">
        <f t="shared" si="5"/>
        <v>40.200000000000003</v>
      </c>
      <c r="C41">
        <f t="shared" si="6"/>
        <v>13.151477777777778</v>
      </c>
    </row>
    <row r="42" spans="1:3" x14ac:dyDescent="0.25">
      <c r="A42">
        <v>5</v>
      </c>
      <c r="B42">
        <f t="shared" si="5"/>
        <v>50.25</v>
      </c>
      <c r="C42">
        <f t="shared" si="6"/>
        <v>13.189347222222223</v>
      </c>
    </row>
    <row r="43" spans="1:3" x14ac:dyDescent="0.25">
      <c r="A43">
        <v>6</v>
      </c>
      <c r="B43">
        <f t="shared" si="5"/>
        <v>60.3</v>
      </c>
      <c r="C43">
        <f t="shared" si="6"/>
        <v>13.227216666666667</v>
      </c>
    </row>
    <row r="44" spans="1:3" x14ac:dyDescent="0.25">
      <c r="A44">
        <v>7</v>
      </c>
      <c r="B44">
        <f t="shared" si="5"/>
        <v>70.349999999999994</v>
      </c>
      <c r="C44">
        <f t="shared" si="6"/>
        <v>13.26508611111111</v>
      </c>
    </row>
    <row r="45" spans="1:3" x14ac:dyDescent="0.25">
      <c r="A45">
        <v>8</v>
      </c>
      <c r="B45">
        <f t="shared" si="5"/>
        <v>80.400000000000006</v>
      </c>
      <c r="C45">
        <f t="shared" si="6"/>
        <v>13.302955555555556</v>
      </c>
    </row>
    <row r="46" spans="1:3" x14ac:dyDescent="0.25">
      <c r="A46">
        <v>9</v>
      </c>
      <c r="B46">
        <f t="shared" si="5"/>
        <v>90.45</v>
      </c>
      <c r="C46">
        <f t="shared" si="6"/>
        <v>13.340825000000001</v>
      </c>
    </row>
    <row r="47" spans="1:3" x14ac:dyDescent="0.25">
      <c r="A47">
        <v>10</v>
      </c>
      <c r="B47">
        <f t="shared" si="5"/>
        <v>100.5</v>
      </c>
      <c r="C47">
        <f t="shared" si="6"/>
        <v>13.378694444444445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Break-Even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davies</dc:creator>
  <cp:lastModifiedBy>Dave Sushames</cp:lastModifiedBy>
  <dcterms:created xsi:type="dcterms:W3CDTF">2026-10-07T01:40:28Z</dcterms:created>
  <dcterms:modified xsi:type="dcterms:W3CDTF">2026-10-26T23:18:58Z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6e7f387-1815-4007-b22e-dbfac1fba8aa_Enabled">
    <vt:lpwstr>true</vt:lpwstr>
  </property>
  <property fmtid="{D5CDD505-2E9C-101B-9397-08002B2CF9AE}" pid="3" name="MSIP_Label_46e7f387-1815-4007-b22e-dbfac1fba8aa_SetDate">
    <vt:lpwstr>2026-10-20T02:20:35Z</vt:lpwstr>
  </property>
  <property fmtid="{D5CDD505-2E9C-101B-9397-08002B2CF9AE}" pid="4" name="MSIP_Label_46e7f387-1815-4007-b22e-dbfac1fba8aa_Method">
    <vt:lpwstr>Standard</vt:lpwstr>
  </property>
  <property fmtid="{D5CDD505-2E9C-101B-9397-08002B2CF9AE}" pid="5" name="MSIP_Label_46e7f387-1815-4007-b22e-dbfac1fba8aa_Name">
    <vt:lpwstr>defa4170-0d19-0005-0004-bc88714345d2</vt:lpwstr>
  </property>
  <property fmtid="{D5CDD505-2E9C-101B-9397-08002B2CF9AE}" pid="6" name="MSIP_Label_46e7f387-1815-4007-b22e-dbfac1fba8aa_SiteId">
    <vt:lpwstr>1ae31382-9a17-4ce4-b300-161b0fa8f4b8</vt:lpwstr>
  </property>
  <property fmtid="{D5CDD505-2E9C-101B-9397-08002B2CF9AE}" pid="7" name="MSIP_Label_46e7f387-1815-4007-b22e-dbfac1fba8aa_ActionId">
    <vt:lpwstr>0f66d747-bdce-4fd8-bcfa-576902404d30</vt:lpwstr>
  </property>
  <property fmtid="{D5CDD505-2E9C-101B-9397-08002B2CF9AE}" pid="8" name="MSIP_Label_46e7f387-1815-4007-b22e-dbfac1fba8aa_ContentBits">
    <vt:lpwstr>0</vt:lpwstr>
  </property>
  <property fmtid="{D5CDD505-2E9C-101B-9397-08002B2CF9AE}" pid="9" name="MSIP_Label_46e7f387-1815-4007-b22e-dbfac1fba8aa_Tag">
    <vt:lpwstr>10, 3, 0, 1</vt:lpwstr>
  </property>
</Properties>
</file>