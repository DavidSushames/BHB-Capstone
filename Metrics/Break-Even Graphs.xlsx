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Metrics/"/>
    </mc:Choice>
  </mc:AlternateContent>
  <xr:revisionPtr revIDLastSave="239" documentId="13_ncr:1_{9B12405A-E811-4AF6-99FE-4D99CF93FFE5}" xr6:coauthVersionLast="47" xr6:coauthVersionMax="47" xr10:uidLastSave="{79AD2E7D-AB47-49FF-85BA-B57A47463183}"/>
  <bookViews>
    <workbookView xWindow="-28920" yWindow="165" windowWidth="29040" windowHeight="15840" tabRatio="846" xr2:uid="{72DB8043-9B22-441A-BCD0-4EB4CA42FDB6}"/>
  </bookViews>
  <sheets>
    <sheet name="Break-Even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2" i="4" l="1"/>
  <c r="C53" i="4"/>
  <c r="C54" i="4"/>
  <c r="C55" i="4"/>
  <c r="C56" i="4"/>
  <c r="C57" i="4"/>
  <c r="C58" i="4"/>
  <c r="C59" i="4"/>
  <c r="C60" i="4"/>
  <c r="C61" i="4"/>
  <c r="C51" i="4"/>
  <c r="B52" i="4"/>
  <c r="B53" i="4"/>
  <c r="B54" i="4"/>
  <c r="B55" i="4"/>
  <c r="B56" i="4"/>
  <c r="B57" i="4"/>
  <c r="B58" i="4"/>
  <c r="B59" i="4"/>
  <c r="B60" i="4"/>
  <c r="B61" i="4"/>
  <c r="B51" i="4"/>
  <c r="E5" i="4"/>
  <c r="E51" i="4" s="1"/>
  <c r="E37" i="4"/>
  <c r="E3" i="4"/>
  <c r="E4" i="4"/>
  <c r="E2" i="4"/>
  <c r="F37" i="4"/>
  <c r="F23" i="4"/>
  <c r="F9" i="4"/>
  <c r="D37" i="4"/>
  <c r="E23" i="4"/>
  <c r="E9" i="4"/>
  <c r="D23" i="4"/>
  <c r="D9" i="4"/>
  <c r="C38" i="4"/>
  <c r="C39" i="4"/>
  <c r="C40" i="4"/>
  <c r="C41" i="4"/>
  <c r="C42" i="4"/>
  <c r="C43" i="4"/>
  <c r="C44" i="4"/>
  <c r="C45" i="4"/>
  <c r="C46" i="4"/>
  <c r="C47" i="4"/>
  <c r="B38" i="4"/>
  <c r="B39" i="4"/>
  <c r="B40" i="4"/>
  <c r="B41" i="4"/>
  <c r="B42" i="4"/>
  <c r="B43" i="4"/>
  <c r="B44" i="4"/>
  <c r="B45" i="4"/>
  <c r="B46" i="4"/>
  <c r="B47" i="4"/>
  <c r="C37" i="4"/>
  <c r="B37" i="4"/>
  <c r="C24" i="4"/>
  <c r="C25" i="4"/>
  <c r="C26" i="4"/>
  <c r="C27" i="4"/>
  <c r="C28" i="4"/>
  <c r="C29" i="4"/>
  <c r="C30" i="4"/>
  <c r="C31" i="4"/>
  <c r="C32" i="4"/>
  <c r="C33" i="4"/>
  <c r="B24" i="4"/>
  <c r="B25" i="4"/>
  <c r="B26" i="4"/>
  <c r="B27" i="4"/>
  <c r="B28" i="4"/>
  <c r="B29" i="4"/>
  <c r="B30" i="4"/>
  <c r="B31" i="4"/>
  <c r="B32" i="4"/>
  <c r="B33" i="4"/>
  <c r="C23" i="4"/>
  <c r="B23" i="4"/>
  <c r="B11" i="4"/>
  <c r="C10" i="4"/>
  <c r="C11" i="4"/>
  <c r="C12" i="4"/>
  <c r="C13" i="4"/>
  <c r="C14" i="4"/>
  <c r="C15" i="4"/>
  <c r="C16" i="4"/>
  <c r="C17" i="4"/>
  <c r="C18" i="4"/>
  <c r="C19" i="4"/>
  <c r="C9" i="4"/>
  <c r="B10" i="4"/>
  <c r="B12" i="4"/>
  <c r="B13" i="4"/>
  <c r="B14" i="4"/>
  <c r="B15" i="4"/>
  <c r="B16" i="4"/>
  <c r="B17" i="4"/>
  <c r="B18" i="4"/>
  <c r="B19" i="4"/>
  <c r="B9" i="4"/>
  <c r="C5" i="4"/>
  <c r="D5" i="4"/>
  <c r="B5" i="4"/>
  <c r="D51" i="4" l="1"/>
  <c r="F51" i="4" s="1"/>
</calcChain>
</file>

<file path=xl/sharedStrings.xml><?xml version="1.0" encoding="utf-8"?>
<sst xmlns="http://schemas.openxmlformats.org/spreadsheetml/2006/main" count="28" uniqueCount="14">
  <si>
    <t>NMAP</t>
  </si>
  <si>
    <t>FOREMOST</t>
  </si>
  <si>
    <t>WIRESHARK</t>
  </si>
  <si>
    <t>Foremost</t>
  </si>
  <si>
    <t>Nmap</t>
  </si>
  <si>
    <t>Wireshark</t>
  </si>
  <si>
    <t>Human Avg</t>
  </si>
  <si>
    <t>AI Avg</t>
  </si>
  <si>
    <t>Setup (AI)</t>
  </si>
  <si>
    <t>Break-even</t>
  </si>
  <si>
    <t>Reports</t>
  </si>
  <si>
    <t>AI+setup (hrs)</t>
  </si>
  <si>
    <t>Human (hrs)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</si>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</sst>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Foremost Break-Even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'Break-Even'!$B$8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'Break-Even'!$A$9:$A$19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'Break-Even'!$B$9:$B$19</c:f>
              <c:numCache>
                <c:formatCode>General</c:formatCode>
                <c:ptCount val="11"/>
                <c:pt idx="0">
                  <c:v>0</c:v>
                </c:pt>
                <c:pt idx="1">
                  <c:v>9.5</c:v>
                </c:pt>
                <c:pt idx="2">
                  <c:v>19</c:v>
                </c:pt>
                <c:pt idx="3">
                  <c:v>28.5</c:v>
                </c:pt>
                <c:pt idx="4">
                  <c:v>38</c:v>
                </c:pt>
                <c:pt idx="5">
                  <c:v>47.5</c:v>
                </c:pt>
                <c:pt idx="6">
                  <c:v>57</c:v>
                </c:pt>
                <c:pt idx="7">
                  <c:v>66.5</c:v>
                </c:pt>
                <c:pt idx="8">
                  <c:v>76</c:v>
                </c:pt>
                <c:pt idx="9">
                  <c:v>85.5</c:v>
                </c:pt>
                <c:pt idx="10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D-4605-A887-929FEA8F4090}"/>
            </c:ext>
          </c:extLst>
        </c:ser>
        <c:ser>
          <c:idx val="1"/>
          <c:order val="1"/>
          <c:tx>
            <c:strRef>
              <c:f>'Break-Even'!$C$8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'Break-Even'!$A$9:$A$19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'Break-Even'!$C$9:$C$19</c:f>
              <c:numCache>
                <c:formatCode>General</c:formatCode>
                <c:ptCount val="11"/>
                <c:pt idx="0">
                  <c:v>31.5</c:v>
                </c:pt>
                <c:pt idx="1">
                  <c:v>31.509352777777778</c:v>
                </c:pt>
                <c:pt idx="2">
                  <c:v>31.518705555555556</c:v>
                </c:pt>
                <c:pt idx="3">
                  <c:v>31.52805833333333</c:v>
                </c:pt>
                <c:pt idx="4">
                  <c:v>31.537411111111108</c:v>
                </c:pt>
                <c:pt idx="5">
                  <c:v>31.54676388888889</c:v>
                </c:pt>
                <c:pt idx="6">
                  <c:v>31.556116666666668</c:v>
                </c:pt>
                <c:pt idx="7">
                  <c:v>31.565469444444446</c:v>
                </c:pt>
                <c:pt idx="8">
                  <c:v>31.574822222222224</c:v>
                </c:pt>
                <c:pt idx="9">
                  <c:v>31.584174999999998</c:v>
                </c:pt>
                <c:pt idx="10">
                  <c:v>31.593527777777776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D-4605-A887-929FEA8F4090}"/>
            </c:ext>
          </c:extLst>
        </c:ser>
        <c:ser>
          <c:idx val="2"/>
          <c:order val="2"/>
          <c:tx>
            <c:v>Break-even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E0DF3F7-3A9D-42F3-B08F-A40F7B4F7C61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289705265853602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14-4165-AE8E-B6EC13F6CFD0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'Break-Even'!$D$9</c:f>
              <c:numCache>
                <c:formatCode>General</c:formatCode>
                <c:ptCount val="1"/>
                <c:pt idx="0">
                  <c:v>3.3190570950991809</c:v>
                </c:pt>
              </c:numCache>
            </c:numRef>
          </c:xVal>
          <c:yVal>
            <c:numRef>
              <c:f>'Break-Even'!$E$9</c:f>
              <c:numCache>
                <c:formatCode>General</c:formatCode>
                <c:ptCount val="1"/>
                <c:pt idx="0">
                  <c:v>31.531042403442218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'Break-Even'!$F$9</c15:f>
                <c15:dlblRangeCache>
                  <c:ptCount val="1"/>
                  <c:pt idx="0">
                    <c:v>3.32 reports, 31.5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1614-4165-AE8E-B6EC13F6C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312128"/>
        <c:axId val="2016642048"/>
      </c:scatterChart>
      <c:valAx>
        <c:axId val="20243121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42048"/>
        <c:crosses val="autoZero"/>
        <c:crossBetween val="midCat"/>
      </c:valAx>
      <c:valAx>
        <c:axId val="201664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312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Nmap Break-Even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'Break-Even'!$B$22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'Break-Even'!$A$23:$A$33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'Break-Even'!$B$23:$B$33</c:f>
              <c:numCache>
                <c:formatCode>General</c:formatCode>
                <c:ptCount val="11"/>
                <c:pt idx="0">
                  <c:v>0</c:v>
                </c:pt>
                <c:pt idx="1">
                  <c:v>5.15</c:v>
                </c:pt>
                <c:pt idx="2">
                  <c:v>10.3</c:v>
                </c:pt>
                <c:pt idx="3">
                  <c:v>15.45</c:v>
                </c:pt>
                <c:pt idx="4">
                  <c:v>20.6</c:v>
                </c:pt>
                <c:pt idx="5">
                  <c:v>25.75</c:v>
                </c:pt>
                <c:pt idx="6">
                  <c:v>30.9</c:v>
                </c:pt>
                <c:pt idx="7">
                  <c:v>36.049999999999997</c:v>
                </c:pt>
                <c:pt idx="8">
                  <c:v>41.2</c:v>
                </c:pt>
                <c:pt idx="9">
                  <c:v>46.35</c:v>
                </c:pt>
                <c:pt idx="10">
                  <c:v>51.5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A2-4B2A-8C18-F9154CB39E12}"/>
            </c:ext>
          </c:extLst>
        </c:ser>
        <c:ser>
          <c:idx val="1"/>
          <c:order val="1"/>
          <c:tx>
            <c:strRef>
              <c:f>'Break-Even'!$C$22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'Break-Even'!$A$23:$A$33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'Break-Even'!$C$23:$C$33</c:f>
              <c:numCache>
                <c:formatCode>General</c:formatCode>
                <c:ptCount val="11"/>
                <c:pt idx="0">
                  <c:v>19</c:v>
                </c:pt>
                <c:pt idx="1">
                  <c:v>19.02620277777778</c:v>
                </c:pt>
                <c:pt idx="2">
                  <c:v>19.052405555555556</c:v>
                </c:pt>
                <c:pt idx="3">
                  <c:v>19.078608333333335</c:v>
                </c:pt>
                <c:pt idx="4">
                  <c:v>19.104811111111115</c:v>
                </c:pt>
                <c:pt idx="5">
                  <c:v>19.131013888888887</c:v>
                </c:pt>
                <c:pt idx="6">
                  <c:v>19.157216666666667</c:v>
                </c:pt>
                <c:pt idx="7">
                  <c:v>19.183419444444443</c:v>
                </c:pt>
                <c:pt idx="8">
                  <c:v>19.209622222222222</c:v>
                </c:pt>
                <c:pt idx="9">
                  <c:v>19.235825000000002</c:v>
                </c:pt>
                <c:pt idx="10">
                  <c:v>19.262027777777778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A2-4B2A-8C18-F9154CB39E12}"/>
            </c:ext>
          </c:extLst>
        </c:ser>
        <c:ser>
          <c:idx val="2"/>
          <c:order val="2"/>
          <c:tx>
            <c:v>Break-even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FE53C99-B849-418E-9327-E5251F3F95DD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400154897000947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AD2-4B7D-90E3-AE121DC9B1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'Break-Even'!$D$23</c:f>
              <c:numCache>
                <c:formatCode>General</c:formatCode>
                <c:ptCount val="1"/>
                <c:pt idx="0">
                  <c:v>3.7081873415278492</c:v>
                </c:pt>
              </c:numCache>
            </c:numRef>
          </c:xVal>
          <c:yVal>
            <c:numRef>
              <c:f>'Break-Even'!$E$23</c:f>
              <c:numCache>
                <c:formatCode>General</c:formatCode>
                <c:ptCount val="1"/>
                <c:pt idx="0">
                  <c:v>19.09716480886842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'Break-Even'!$F$23</c15:f>
                <c15:dlblRangeCache>
                  <c:ptCount val="1"/>
                  <c:pt idx="0">
                    <c:v>3.71 reports, 19.1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AD2-4B7D-90E3-AE121DC9B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347519"/>
        <c:axId val="1963447744"/>
      </c:scatterChart>
      <c:valAx>
        <c:axId val="638347519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3447744"/>
        <c:crosses val="autoZero"/>
        <c:crossBetween val="midCat"/>
      </c:valAx>
      <c:valAx>
        <c:axId val="196344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47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Wireshark Break-Even chart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'Break-Even'!$B$36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'Break-Even'!$A$37:$A$47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'Break-Even'!$B$37:$B$47</c:f>
              <c:numCache>
                <c:formatCode>General</c:formatCode>
                <c:ptCount val="11"/>
                <c:pt idx="0">
                  <c:v>0</c:v>
                </c:pt>
                <c:pt idx="1">
                  <c:v>10.050000000000001</c:v>
                </c:pt>
                <c:pt idx="2">
                  <c:v>20.100000000000001</c:v>
                </c:pt>
                <c:pt idx="3">
                  <c:v>30.15</c:v>
                </c:pt>
                <c:pt idx="4">
                  <c:v>40.200000000000003</c:v>
                </c:pt>
                <c:pt idx="5">
                  <c:v>50.25</c:v>
                </c:pt>
                <c:pt idx="6">
                  <c:v>60.3</c:v>
                </c:pt>
                <c:pt idx="7">
                  <c:v>70.349999999999994</c:v>
                </c:pt>
                <c:pt idx="8">
                  <c:v>80.400000000000006</c:v>
                </c:pt>
                <c:pt idx="9">
                  <c:v>90.45</c:v>
                </c:pt>
                <c:pt idx="10">
                  <c:v>100.5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F-4651-A334-A9F3E992AA8E}"/>
            </c:ext>
          </c:extLst>
        </c:ser>
        <c:ser>
          <c:idx val="1"/>
          <c:order val="1"/>
          <c:tx>
            <c:strRef>
              <c:f>'Break-Even'!$C$36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'Break-Even'!$A$37:$A$47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'Break-Even'!$C$37:$C$47</c:f>
              <c:numCache>
                <c:formatCode>General</c:formatCode>
                <c:ptCount val="11"/>
                <c:pt idx="0">
                  <c:v>13</c:v>
                </c:pt>
                <c:pt idx="1">
                  <c:v>13.037869444444445</c:v>
                </c:pt>
                <c:pt idx="2">
                  <c:v>13.075738888888889</c:v>
                </c:pt>
                <c:pt idx="3">
                  <c:v>13.113608333333334</c:v>
                </c:pt>
                <c:pt idx="4">
                  <c:v>13.151477777777778</c:v>
                </c:pt>
                <c:pt idx="5">
                  <c:v>13.189347222222223</c:v>
                </c:pt>
                <c:pt idx="6">
                  <c:v>13.227216666666667</c:v>
                </c:pt>
                <c:pt idx="7">
                  <c:v>13.26508611111111</c:v>
                </c:pt>
                <c:pt idx="8">
                  <c:v>13.302955555555556</c:v>
                </c:pt>
                <c:pt idx="9">
                  <c:v>13.340825000000001</c:v>
                </c:pt>
                <c:pt idx="10">
                  <c:v>13.378694444444445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6F-4651-A334-A9F3E992AA8E}"/>
            </c:ext>
          </c:extLst>
        </c:ser>
        <c:ser>
          <c:idx val="2"/>
          <c:order val="2"/>
          <c:tx>
            <c:v>Break-even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7678D1A-A56E-459D-9807-7DF85CC73FFD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070569767113038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360-47CD-9996-0EA93FF6D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'Break-Even'!$D$37</c:f>
              <c:numCache>
                <c:formatCode>General</c:formatCode>
                <c:ptCount val="1"/>
                <c:pt idx="0">
                  <c:v>1.298424938414984</c:v>
                </c:pt>
              </c:numCache>
            </c:numRef>
          </c:xVal>
          <c:yVal>
            <c:numRef>
              <c:f>'Break-Even'!$E$37</c:f>
              <c:numCache>
                <c:formatCode>General</c:formatCode>
                <c:ptCount val="1"/>
                <c:pt idx="0">
                  <c:v>13.049170631070588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'Break-Even'!$F$37</c15:f>
                <c15:dlblRangeCache>
                  <c:ptCount val="1"/>
                  <c:pt idx="0">
                    <c:v>1.30 reports, 13.0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4360-47CD-9996-0EA93FF6D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188287"/>
        <c:axId val="2016643008"/>
      </c:scatterChart>
      <c:valAx>
        <c:axId val="509188287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43008"/>
        <c:crosses val="autoZero"/>
        <c:crossBetween val="midCat"/>
      </c:valAx>
      <c:valAx>
        <c:axId val="20166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18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Average Break-even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'Break-Even'!$B$50</c:f>
              <c:strCache>
                <c:ptCount val="1"/>
                <c:pt idx="0">
                  <c:v>Human (hrs)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'Break-Even'!$A$51:$A$61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'Break-Even'!$B$51:$B$61</c:f>
              <c:numCache>
                <c:formatCode>General</c:formatCode>
                <c:ptCount val="11"/>
                <c:pt idx="0">
                  <c:v>0</c:v>
                </c:pt>
                <c:pt idx="1">
                  <c:v>8.2333333333333325</c:v>
                </c:pt>
                <c:pt idx="2">
                  <c:v>16.466666666666665</c:v>
                </c:pt>
                <c:pt idx="3">
                  <c:v>24.7</c:v>
                </c:pt>
                <c:pt idx="4">
                  <c:v>32.93333333333333</c:v>
                </c:pt>
                <c:pt idx="5">
                  <c:v>41.166666666666664</c:v>
                </c:pt>
                <c:pt idx="6">
                  <c:v>49.4</c:v>
                </c:pt>
                <c:pt idx="7">
                  <c:v>57.633333333333333</c:v>
                </c:pt>
                <c:pt idx="8">
                  <c:v>65.86666666666666</c:v>
                </c:pt>
                <c:pt idx="9">
                  <c:v>74.099999999999994</c:v>
                </c:pt>
                <c:pt idx="10">
                  <c:v>82.333333333333329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3-4267-AF9B-9BB3297AABEC}"/>
            </c:ext>
          </c:extLst>
        </c:ser>
        <c:ser>
          <c:idx val="1"/>
          <c:order val="1"/>
          <c:tx>
            <c:strRef>
              <c:f>'Break-Even'!$C$50</c:f>
              <c:strCache>
                <c:ptCount val="1"/>
                <c:pt idx="0">
                  <c:v>AI+setup (hrs)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'Break-Even'!$A$51:$A$61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'Break-Even'!$C$51:$C$61</c:f>
              <c:numCache>
                <c:formatCode>General</c:formatCode>
                <c:ptCount val="11"/>
                <c:pt idx="0">
                  <c:v>21.166666666666668</c:v>
                </c:pt>
                <c:pt idx="1">
                  <c:v>21.191141666666667</c:v>
                </c:pt>
                <c:pt idx="2">
                  <c:v>21.215616666666666</c:v>
                </c:pt>
                <c:pt idx="3">
                  <c:v>21.240091666666668</c:v>
                </c:pt>
                <c:pt idx="4">
                  <c:v>21.264566666666667</c:v>
                </c:pt>
                <c:pt idx="5">
                  <c:v>21.289041666666666</c:v>
                </c:pt>
                <c:pt idx="6">
                  <c:v>21.313516666666668</c:v>
                </c:pt>
                <c:pt idx="7">
                  <c:v>21.337991666666667</c:v>
                </c:pt>
                <c:pt idx="8">
                  <c:v>21.362466666666666</c:v>
                </c:pt>
                <c:pt idx="9">
                  <c:v>21.386941666666669</c:v>
                </c:pt>
                <c:pt idx="10">
                  <c:v>21.411416666666668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63-4267-AF9B-9BB3297AABEC}"/>
            </c:ext>
          </c:extLst>
        </c:ser>
        <c:ser>
          <c:idx val="2"/>
          <c:order val="2"/>
          <c:tx>
            <c:v>Break-even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827ABCC-F48D-474F-AB6D-2AD968155E3F}" type="CELLRANGE">
                      <a:rPr lang="en-US"/>
                      <a:pPr/>
                      <a:t>[CELLRANGE]</a:t>
                    </a:fld>
                    <a:endParaRPr lang="en-NZ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993626166333234"/>
                      <c:h val="0.1156018518518518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3263-4267-AF9B-9BB3297AAB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'Break-Even'!$D$51</c:f>
              <c:numCache>
                <c:formatCode>General</c:formatCode>
                <c:ptCount val="1"/>
                <c:pt idx="0">
                  <c:v>2.5785152827788682</c:v>
                </c:pt>
              </c:numCache>
            </c:numRef>
          </c:xVal>
          <c:yVal>
            <c:numRef>
              <c:f>'Break-Even'!$E$51</c:f>
              <c:numCache>
                <c:formatCode>General</c:formatCode>
                <c:ptCount val="1"/>
                <c:pt idx="0">
                  <c:v>21.229775828212681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'Break-Even'!$F$51</c15:f>
                <c15:dlblRangeCache>
                  <c:ptCount val="1"/>
                  <c:pt idx="0">
                    <c:v>2.58 reports, 21.2 hours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3263-4267-AF9B-9BB3297AA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157312"/>
        <c:axId val="1519122368"/>
      </c:scatterChart>
      <c:valAx>
        <c:axId val="197157312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Reports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22368"/>
        <c:crosses val="autoZero"/>
        <c:crossBetween val="midCat"/>
      </c:valAx>
      <c:valAx>
        <c:axId val="151912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Hours taken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5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397113</xdr:colOff>
      <xdr:row>4</xdr:row>
      <xdr:rowOff>70513</xdr:rowOff>
    </xdr:from>
    <xdr:to>
      <xdr:col>15</xdr:col>
      <xdr:colOff>92892</xdr:colOff>
      <xdr:row>18</xdr:row>
      <xdr:rowOff>146713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7E9D38-859B-1C99-B4E0-7C77FE1AE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388454</xdr:colOff>
      <xdr:row>20</xdr:row>
      <xdr:rowOff>22018</xdr:rowOff>
    </xdr:from>
    <xdr:to>
      <xdr:col>15</xdr:col>
      <xdr:colOff>85118</xdr:colOff>
      <xdr:row>34</xdr:row>
      <xdr:rowOff>98218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A59E03-4D8E-48CE-97B1-8267EB2C4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427653</xdr:colOff>
      <xdr:row>35</xdr:row>
      <xdr:rowOff>152488</xdr:rowOff>
    </xdr:from>
    <xdr:to>
      <xdr:col>15</xdr:col>
      <xdr:colOff>124317</xdr:colOff>
      <xdr:row>50</xdr:row>
      <xdr:rowOff>38188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FF2BC9-6360-275C-93FD-2EFE5D224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392206</xdr:colOff>
      <xdr:row>51</xdr:row>
      <xdr:rowOff>12326</xdr:rowOff>
    </xdr:from>
    <xdr:to>
      <xdr:col>15</xdr:col>
      <xdr:colOff>123264</xdr:colOff>
      <xdr:row>65</xdr:row>
      <xdr:rowOff>88526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ABEE62-53BD-39AF-15F5-AFEF28BCF7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EBB12-0F36-4113-9F1A-DF69764B9290}">
  <dimension ref="A1:F61"/>
  <sheetViews>
    <sheetView tabSelected="1" zoomScaleNormal="100" workbookViewId="0">
      <selection activeCell="E2" sqref="E2"/>
    </sheetView>
  </sheetViews>
  <sheetFormatPr defaultRowHeight="15" x14ac:dyDescent="0.25"/>
  <cols>
    <col min="1" max="1" width="13.28515625" customWidth="1"/>
    <col min="2" max="2" width="12.85546875" customWidth="1"/>
    <col min="3" max="3" width="13.140625" customWidth="1"/>
    <col min="4" max="4" width="12.7109375" customWidth="1"/>
  </cols>
  <sheetData>
    <row r="1" spans="1:6" x14ac:dyDescent="0.25">
      <c r="B1" s="1" t="s">
        <v>3</v>
      </c>
      <c r="C1" s="1" t="s">
        <v>4</v>
      </c>
      <c r="D1" s="1" t="s">
        <v>5</v>
      </c>
      <c r="E1" s="1" t="s">
        <v>13</v>
      </c>
    </row>
    <row r="2" spans="1:6" x14ac:dyDescent="0.25">
      <c r="A2" s="1" t="s">
        <v>6</v>
      </c>
      <c r="B2">
        <v>34200</v>
      </c>
      <c r="C2">
        <v>18540</v>
      </c>
      <c r="D2">
        <v>36180</v>
      </c>
      <c r="E2">
        <f>AVERAGE(B2,C2,D2)</f>
        <v>29640</v>
      </c>
    </row>
    <row r="3" spans="1:6" x14ac:dyDescent="0.25">
      <c r="A3" s="1" t="s">
        <v>7</v>
      </c>
      <c r="B3">
        <v>33.67</v>
      </c>
      <c r="C3">
        <v>94.33</v>
      </c>
      <c r="D3">
        <v>136.33000000000001</v>
      </c>
      <c r="E3">
        <f t="shared" ref="E3:E4" si="0">AVERAGE(B3,C3,D3)</f>
        <v>88.110000000000014</v>
      </c>
    </row>
    <row r="4" spans="1:6" x14ac:dyDescent="0.25">
      <c r="A4" s="1" t="s">
        <v>8</v>
      </c>
      <c r="B4">
        <v>113400</v>
      </c>
      <c r="C4">
        <v>68400</v>
      </c>
      <c r="D4">
        <v>46800</v>
      </c>
      <c r="E4">
        <f t="shared" si="0"/>
        <v>76200</v>
      </c>
    </row>
    <row r="5" spans="1:6" x14ac:dyDescent="0.25">
      <c r="A5" s="1" t="s">
        <v>9</v>
      </c>
      <c r="B5">
        <f>B4/(B2-B3)</f>
        <v>3.3190570950991809</v>
      </c>
      <c r="C5">
        <f t="shared" ref="C5:E5" si="1">C4/(C2-C3)</f>
        <v>3.7081873415278492</v>
      </c>
      <c r="D5">
        <f t="shared" si="1"/>
        <v>1.298424938414984</v>
      </c>
      <c r="E5">
        <f t="shared" si="1"/>
        <v>2.5785152827788682</v>
      </c>
    </row>
    <row r="7" spans="1:6" x14ac:dyDescent="0.25">
      <c r="A7" s="1" t="s">
        <v>1</v>
      </c>
    </row>
    <row r="8" spans="1:6" x14ac:dyDescent="0.25">
      <c r="A8" s="1" t="s">
        <v>10</v>
      </c>
      <c r="B8" s="1" t="s">
        <v>12</v>
      </c>
      <c r="C8" s="1" t="s">
        <v>11</v>
      </c>
      <c r="D8" s="1" t="s">
        <v>9</v>
      </c>
    </row>
    <row r="9" spans="1:6" x14ac:dyDescent="0.25">
      <c r="A9">
        <v>0</v>
      </c>
      <c r="B9">
        <f>A9*$B$2/3600</f>
        <v>0</v>
      </c>
      <c r="C9">
        <f>($B$4+A9*$B$3)/3600</f>
        <v>31.5</v>
      </c>
      <c r="D9">
        <f>B5</f>
        <v>3.3190570950991809</v>
      </c>
      <c r="E9">
        <f>B5*B2/3600</f>
        <v>31.531042403442218</v>
      </c>
      <c r="F9" t="str">
        <f>TEXT(D9,"0.00")&amp;" reports, "&amp;TEXT(E9,"0.0")&amp;" hours"</f>
        <v>3.32 reports, 31.5 hours</v>
      </c>
    </row>
    <row r="10" spans="1:6" x14ac:dyDescent="0.25">
      <c r="A10">
        <v>1</v>
      </c>
      <c r="B10">
        <f t="shared" ref="B10:B19" si="2">A10*$B$2/3600</f>
        <v>9.5</v>
      </c>
      <c r="C10">
        <f t="shared" ref="C10:C19" si="3">($B$4+A10*$B$3)/3600</f>
        <v>31.509352777777778</v>
      </c>
    </row>
    <row r="11" spans="1:6" x14ac:dyDescent="0.25">
      <c r="A11">
        <v>2</v>
      </c>
      <c r="B11">
        <f>A11*$B$2/3600</f>
        <v>19</v>
      </c>
      <c r="C11">
        <f t="shared" si="3"/>
        <v>31.518705555555556</v>
      </c>
    </row>
    <row r="12" spans="1:6" x14ac:dyDescent="0.25">
      <c r="A12">
        <v>3</v>
      </c>
      <c r="B12">
        <f t="shared" si="2"/>
        <v>28.5</v>
      </c>
      <c r="C12">
        <f t="shared" si="3"/>
        <v>31.52805833333333</v>
      </c>
    </row>
    <row r="13" spans="1:6" x14ac:dyDescent="0.25">
      <c r="A13">
        <v>4</v>
      </c>
      <c r="B13">
        <f t="shared" si="2"/>
        <v>38</v>
      </c>
      <c r="C13">
        <f t="shared" si="3"/>
        <v>31.537411111111108</v>
      </c>
    </row>
    <row r="14" spans="1:6" x14ac:dyDescent="0.25">
      <c r="A14">
        <v>5</v>
      </c>
      <c r="B14">
        <f t="shared" si="2"/>
        <v>47.5</v>
      </c>
      <c r="C14">
        <f t="shared" si="3"/>
        <v>31.54676388888889</v>
      </c>
    </row>
    <row r="15" spans="1:6" x14ac:dyDescent="0.25">
      <c r="A15">
        <v>6</v>
      </c>
      <c r="B15">
        <f t="shared" si="2"/>
        <v>57</v>
      </c>
      <c r="C15">
        <f t="shared" si="3"/>
        <v>31.556116666666668</v>
      </c>
    </row>
    <row r="16" spans="1:6" x14ac:dyDescent="0.25">
      <c r="A16">
        <v>7</v>
      </c>
      <c r="B16">
        <f t="shared" si="2"/>
        <v>66.5</v>
      </c>
      <c r="C16">
        <f t="shared" si="3"/>
        <v>31.565469444444446</v>
      </c>
    </row>
    <row r="17" spans="1:6" x14ac:dyDescent="0.25">
      <c r="A17">
        <v>8</v>
      </c>
      <c r="B17">
        <f t="shared" si="2"/>
        <v>76</v>
      </c>
      <c r="C17">
        <f t="shared" si="3"/>
        <v>31.574822222222224</v>
      </c>
    </row>
    <row r="18" spans="1:6" x14ac:dyDescent="0.25">
      <c r="A18">
        <v>9</v>
      </c>
      <c r="B18">
        <f t="shared" si="2"/>
        <v>85.5</v>
      </c>
      <c r="C18">
        <f t="shared" si="3"/>
        <v>31.584174999999998</v>
      </c>
    </row>
    <row r="19" spans="1:6" x14ac:dyDescent="0.25">
      <c r="A19">
        <v>10</v>
      </c>
      <c r="B19">
        <f t="shared" si="2"/>
        <v>95</v>
      </c>
      <c r="C19">
        <f t="shared" si="3"/>
        <v>31.593527777777776</v>
      </c>
    </row>
    <row r="21" spans="1:6" x14ac:dyDescent="0.25">
      <c r="A21" s="1" t="s">
        <v>0</v>
      </c>
    </row>
    <row r="22" spans="1:6" x14ac:dyDescent="0.25">
      <c r="A22" s="1" t="s">
        <v>10</v>
      </c>
      <c r="B22" s="1" t="s">
        <v>12</v>
      </c>
      <c r="C22" s="1" t="s">
        <v>11</v>
      </c>
      <c r="D22" s="1" t="s">
        <v>9</v>
      </c>
    </row>
    <row r="23" spans="1:6" x14ac:dyDescent="0.25">
      <c r="A23">
        <v>0</v>
      </c>
      <c r="B23">
        <f>A23*$C$2/3600</f>
        <v>0</v>
      </c>
      <c r="C23">
        <f>($C$4+A23*$C$3)/3600</f>
        <v>19</v>
      </c>
      <c r="D23">
        <f>C5</f>
        <v>3.7081873415278492</v>
      </c>
      <c r="E23">
        <f>C5*C2/3600</f>
        <v>19.09716480886842</v>
      </c>
      <c r="F23" t="str">
        <f>TEXT(D23,"0.00")&amp;" reports, "&amp;TEXT(E23,"0.0")&amp;" hours"</f>
        <v>3.71 reports, 19.1 hours</v>
      </c>
    </row>
    <row r="24" spans="1:6" x14ac:dyDescent="0.25">
      <c r="A24">
        <v>1</v>
      </c>
      <c r="B24">
        <f t="shared" ref="B24:B33" si="4">A24*$C$2/3600</f>
        <v>5.15</v>
      </c>
      <c r="C24">
        <f t="shared" ref="C24:C33" si="5">($C$4+A24*$C$3)/3600</f>
        <v>19.02620277777778</v>
      </c>
    </row>
    <row r="25" spans="1:6" x14ac:dyDescent="0.25">
      <c r="A25">
        <v>2</v>
      </c>
      <c r="B25">
        <f t="shared" si="4"/>
        <v>10.3</v>
      </c>
      <c r="C25">
        <f t="shared" si="5"/>
        <v>19.052405555555556</v>
      </c>
    </row>
    <row r="26" spans="1:6" x14ac:dyDescent="0.25">
      <c r="A26">
        <v>3</v>
      </c>
      <c r="B26">
        <f t="shared" si="4"/>
        <v>15.45</v>
      </c>
      <c r="C26">
        <f t="shared" si="5"/>
        <v>19.078608333333335</v>
      </c>
    </row>
    <row r="27" spans="1:6" x14ac:dyDescent="0.25">
      <c r="A27">
        <v>4</v>
      </c>
      <c r="B27">
        <f t="shared" si="4"/>
        <v>20.6</v>
      </c>
      <c r="C27">
        <f t="shared" si="5"/>
        <v>19.104811111111115</v>
      </c>
    </row>
    <row r="28" spans="1:6" x14ac:dyDescent="0.25">
      <c r="A28">
        <v>5</v>
      </c>
      <c r="B28">
        <f t="shared" si="4"/>
        <v>25.75</v>
      </c>
      <c r="C28">
        <f t="shared" si="5"/>
        <v>19.131013888888887</v>
      </c>
    </row>
    <row r="29" spans="1:6" x14ac:dyDescent="0.25">
      <c r="A29">
        <v>6</v>
      </c>
      <c r="B29">
        <f t="shared" si="4"/>
        <v>30.9</v>
      </c>
      <c r="C29">
        <f t="shared" si="5"/>
        <v>19.157216666666667</v>
      </c>
    </row>
    <row r="30" spans="1:6" x14ac:dyDescent="0.25">
      <c r="A30">
        <v>7</v>
      </c>
      <c r="B30">
        <f t="shared" si="4"/>
        <v>36.049999999999997</v>
      </c>
      <c r="C30">
        <f t="shared" si="5"/>
        <v>19.183419444444443</v>
      </c>
    </row>
    <row r="31" spans="1:6" x14ac:dyDescent="0.25">
      <c r="A31">
        <v>8</v>
      </c>
      <c r="B31">
        <f t="shared" si="4"/>
        <v>41.2</v>
      </c>
      <c r="C31">
        <f t="shared" si="5"/>
        <v>19.209622222222222</v>
      </c>
    </row>
    <row r="32" spans="1:6" x14ac:dyDescent="0.25">
      <c r="A32">
        <v>9</v>
      </c>
      <c r="B32">
        <f t="shared" si="4"/>
        <v>46.35</v>
      </c>
      <c r="C32">
        <f t="shared" si="5"/>
        <v>19.235825000000002</v>
      </c>
    </row>
    <row r="33" spans="1:6" x14ac:dyDescent="0.25">
      <c r="A33">
        <v>10</v>
      </c>
      <c r="B33">
        <f t="shared" si="4"/>
        <v>51.5</v>
      </c>
      <c r="C33">
        <f t="shared" si="5"/>
        <v>19.262027777777778</v>
      </c>
    </row>
    <row r="35" spans="1:6" x14ac:dyDescent="0.25">
      <c r="A35" s="1" t="s">
        <v>2</v>
      </c>
    </row>
    <row r="36" spans="1:6" x14ac:dyDescent="0.25">
      <c r="A36" s="1" t="s">
        <v>10</v>
      </c>
      <c r="B36" s="1" t="s">
        <v>12</v>
      </c>
      <c r="C36" s="1" t="s">
        <v>11</v>
      </c>
      <c r="D36" s="1" t="s">
        <v>9</v>
      </c>
    </row>
    <row r="37" spans="1:6" x14ac:dyDescent="0.25">
      <c r="A37">
        <v>0</v>
      </c>
      <c r="B37">
        <f>A37*$D$2/3600</f>
        <v>0</v>
      </c>
      <c r="C37">
        <f>($D$4+A37*$D$3)/3600</f>
        <v>13</v>
      </c>
      <c r="D37">
        <f>D5</f>
        <v>1.298424938414984</v>
      </c>
      <c r="E37">
        <f>D5*D2/3600</f>
        <v>13.049170631070588</v>
      </c>
      <c r="F37" t="str">
        <f>TEXT(D37,"0.00")&amp;" reports, "&amp;TEXT(E37,"0.0")&amp;" hours"</f>
        <v>1.30 reports, 13.0 hours</v>
      </c>
    </row>
    <row r="38" spans="1:6" x14ac:dyDescent="0.25">
      <c r="A38">
        <v>1</v>
      </c>
      <c r="B38">
        <f t="shared" ref="B38:B47" si="6">A38*$D$2/3600</f>
        <v>10.050000000000001</v>
      </c>
      <c r="C38">
        <f t="shared" ref="C38:C47" si="7">($D$4+A38*$D$3)/3600</f>
        <v>13.037869444444445</v>
      </c>
    </row>
    <row r="39" spans="1:6" x14ac:dyDescent="0.25">
      <c r="A39">
        <v>2</v>
      </c>
      <c r="B39">
        <f t="shared" si="6"/>
        <v>20.100000000000001</v>
      </c>
      <c r="C39">
        <f t="shared" si="7"/>
        <v>13.075738888888889</v>
      </c>
    </row>
    <row r="40" spans="1:6" x14ac:dyDescent="0.25">
      <c r="A40">
        <v>3</v>
      </c>
      <c r="B40">
        <f t="shared" si="6"/>
        <v>30.15</v>
      </c>
      <c r="C40">
        <f t="shared" si="7"/>
        <v>13.113608333333334</v>
      </c>
    </row>
    <row r="41" spans="1:6" x14ac:dyDescent="0.25">
      <c r="A41">
        <v>4</v>
      </c>
      <c r="B41">
        <f t="shared" si="6"/>
        <v>40.200000000000003</v>
      </c>
      <c r="C41">
        <f t="shared" si="7"/>
        <v>13.151477777777778</v>
      </c>
    </row>
    <row r="42" spans="1:6" x14ac:dyDescent="0.25">
      <c r="A42">
        <v>5</v>
      </c>
      <c r="B42">
        <f t="shared" si="6"/>
        <v>50.25</v>
      </c>
      <c r="C42">
        <f t="shared" si="7"/>
        <v>13.189347222222223</v>
      </c>
    </row>
    <row r="43" spans="1:6" x14ac:dyDescent="0.25">
      <c r="A43">
        <v>6</v>
      </c>
      <c r="B43">
        <f t="shared" si="6"/>
        <v>60.3</v>
      </c>
      <c r="C43">
        <f t="shared" si="7"/>
        <v>13.227216666666667</v>
      </c>
    </row>
    <row r="44" spans="1:6" x14ac:dyDescent="0.25">
      <c r="A44">
        <v>7</v>
      </c>
      <c r="B44">
        <f t="shared" si="6"/>
        <v>70.349999999999994</v>
      </c>
      <c r="C44">
        <f t="shared" si="7"/>
        <v>13.26508611111111</v>
      </c>
    </row>
    <row r="45" spans="1:6" x14ac:dyDescent="0.25">
      <c r="A45">
        <v>8</v>
      </c>
      <c r="B45">
        <f t="shared" si="6"/>
        <v>80.400000000000006</v>
      </c>
      <c r="C45">
        <f t="shared" si="7"/>
        <v>13.302955555555556</v>
      </c>
    </row>
    <row r="46" spans="1:6" x14ac:dyDescent="0.25">
      <c r="A46">
        <v>9</v>
      </c>
      <c r="B46">
        <f t="shared" si="6"/>
        <v>90.45</v>
      </c>
      <c r="C46">
        <f t="shared" si="7"/>
        <v>13.340825000000001</v>
      </c>
    </row>
    <row r="47" spans="1:6" x14ac:dyDescent="0.25">
      <c r="A47">
        <v>10</v>
      </c>
      <c r="B47">
        <f t="shared" si="6"/>
        <v>100.5</v>
      </c>
      <c r="C47">
        <f t="shared" si="7"/>
        <v>13.378694444444445</v>
      </c>
    </row>
    <row r="49" spans="1:6" x14ac:dyDescent="0.25">
      <c r="A49" s="1" t="s">
        <v>13</v>
      </c>
    </row>
    <row r="50" spans="1:6" x14ac:dyDescent="0.25">
      <c r="A50" s="1" t="s">
        <v>10</v>
      </c>
      <c r="B50" s="1" t="s">
        <v>12</v>
      </c>
      <c r="C50" s="1" t="s">
        <v>11</v>
      </c>
      <c r="D50" s="1" t="s">
        <v>9</v>
      </c>
    </row>
    <row r="51" spans="1:6" x14ac:dyDescent="0.25">
      <c r="A51">
        <v>0</v>
      </c>
      <c r="B51">
        <f>A37*$E$2/3600</f>
        <v>0</v>
      </c>
      <c r="C51">
        <f>($E$4+A37*$E$3)/3600</f>
        <v>21.166666666666668</v>
      </c>
      <c r="D51">
        <f>E5</f>
        <v>2.5785152827788682</v>
      </c>
      <c r="E51">
        <f>E5*E2/3600</f>
        <v>21.229775828212681</v>
      </c>
      <c r="F51" t="str">
        <f>TEXT(D51,"0.00")&amp;" reports, "&amp;TEXT(E51,"0.0")&amp;" hours"</f>
        <v>2.58 reports, 21.2 hours</v>
      </c>
    </row>
    <row r="52" spans="1:6" x14ac:dyDescent="0.25">
      <c r="A52">
        <v>1</v>
      </c>
      <c r="B52">
        <f t="shared" ref="B52:B61" si="8">A38*$E$2/3600</f>
        <v>8.2333333333333325</v>
      </c>
      <c r="C52">
        <f t="shared" ref="C52:C61" si="9">($E$4+A38*$E$3)/3600</f>
        <v>21.191141666666667</v>
      </c>
    </row>
    <row r="53" spans="1:6" x14ac:dyDescent="0.25">
      <c r="A53">
        <v>2</v>
      </c>
      <c r="B53">
        <f t="shared" si="8"/>
        <v>16.466666666666665</v>
      </c>
      <c r="C53">
        <f t="shared" si="9"/>
        <v>21.215616666666666</v>
      </c>
    </row>
    <row r="54" spans="1:6" x14ac:dyDescent="0.25">
      <c r="A54">
        <v>3</v>
      </c>
      <c r="B54">
        <f t="shared" si="8"/>
        <v>24.7</v>
      </c>
      <c r="C54">
        <f t="shared" si="9"/>
        <v>21.240091666666668</v>
      </c>
    </row>
    <row r="55" spans="1:6" x14ac:dyDescent="0.25">
      <c r="A55">
        <v>4</v>
      </c>
      <c r="B55">
        <f t="shared" si="8"/>
        <v>32.93333333333333</v>
      </c>
      <c r="C55">
        <f t="shared" si="9"/>
        <v>21.264566666666667</v>
      </c>
    </row>
    <row r="56" spans="1:6" x14ac:dyDescent="0.25">
      <c r="A56">
        <v>5</v>
      </c>
      <c r="B56">
        <f t="shared" si="8"/>
        <v>41.166666666666664</v>
      </c>
      <c r="C56">
        <f t="shared" si="9"/>
        <v>21.289041666666666</v>
      </c>
    </row>
    <row r="57" spans="1:6" x14ac:dyDescent="0.25">
      <c r="A57">
        <v>6</v>
      </c>
      <c r="B57">
        <f t="shared" si="8"/>
        <v>49.4</v>
      </c>
      <c r="C57">
        <f t="shared" si="9"/>
        <v>21.313516666666668</v>
      </c>
    </row>
    <row r="58" spans="1:6" x14ac:dyDescent="0.25">
      <c r="A58">
        <v>7</v>
      </c>
      <c r="B58">
        <f t="shared" si="8"/>
        <v>57.633333333333333</v>
      </c>
      <c r="C58">
        <f t="shared" si="9"/>
        <v>21.337991666666667</v>
      </c>
    </row>
    <row r="59" spans="1:6" x14ac:dyDescent="0.25">
      <c r="A59">
        <v>8</v>
      </c>
      <c r="B59">
        <f t="shared" si="8"/>
        <v>65.86666666666666</v>
      </c>
      <c r="C59">
        <f t="shared" si="9"/>
        <v>21.362466666666666</v>
      </c>
    </row>
    <row r="60" spans="1:6" x14ac:dyDescent="0.25">
      <c r="A60">
        <v>9</v>
      </c>
      <c r="B60">
        <f t="shared" si="8"/>
        <v>74.099999999999994</v>
      </c>
      <c r="C60">
        <f t="shared" si="9"/>
        <v>21.386941666666669</v>
      </c>
    </row>
    <row r="61" spans="1:6" x14ac:dyDescent="0.25">
      <c r="A61">
        <v>10</v>
      </c>
      <c r="B61">
        <f t="shared" si="8"/>
        <v>82.333333333333329</v>
      </c>
      <c r="C61">
        <f t="shared" si="9"/>
        <v>21.411416666666668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Break-Even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davies</dc:creator>
  <cp:lastModifiedBy>Dave Sushames</cp:lastModifiedBy>
  <dcterms:created xsi:type="dcterms:W3CDTF">2026-10-07T01:40:28Z</dcterms:created>
  <dcterms:modified xsi:type="dcterms:W3CDTF">2026-10-27T22:06:41Z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2026-10-20T02:20:35Z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0f66d747-bdce-4fd8-bcfa-576902404d30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