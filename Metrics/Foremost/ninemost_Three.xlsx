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2026 Y3 BIT\trimester2\Capstone\BHB-Capstone\Metrics\Foremost\"/>
    </mc:Choice>
  </mc:AlternateContent>
  <xr:revisionPtr revIDLastSave="0" documentId="13_ncr:1_{692AC474-B528-4826-83A3-402200194A62}" xr6:coauthVersionLast="47" xr6:coauthVersionMax="47" xr10:uidLastSave="{00000000-0000-0000-0000-000000000000}"/>
  <bookViews>
    <workbookView xWindow="-120" yWindow="-120" windowWidth="29040" windowHeight="15720" xr2:uid="{65FA32ED-CAA0-40FA-B47E-F3E4FC0BC6A9}"/>
  </bookViews>
  <sheets>
    <sheet name="ninemost_Three_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3" i="1" l="1"/>
  <c r="H133" i="1"/>
  <c r="G133" i="1"/>
  <c r="I132" i="1"/>
  <c r="H132" i="1"/>
  <c r="G132" i="1"/>
  <c r="I131" i="1"/>
  <c r="H131" i="1"/>
  <c r="H134" i="1" s="1"/>
  <c r="G131" i="1"/>
  <c r="D133" i="1"/>
  <c r="D132" i="1"/>
  <c r="D131" i="1"/>
  <c r="C133" i="1"/>
  <c r="C132" i="1"/>
  <c r="C131" i="1"/>
  <c r="C134" i="1" s="1"/>
  <c r="B133" i="1"/>
  <c r="B132" i="1"/>
  <c r="B131" i="1"/>
  <c r="B134" i="1" s="1"/>
  <c r="I126" i="1"/>
  <c r="H126" i="1"/>
  <c r="G126" i="1"/>
  <c r="D126" i="1"/>
  <c r="C126" i="1"/>
  <c r="B126" i="1"/>
  <c r="I69" i="1"/>
  <c r="H69" i="1"/>
  <c r="G69" i="1"/>
  <c r="D69" i="1"/>
  <c r="C69" i="1"/>
  <c r="B69" i="1"/>
  <c r="I49" i="1"/>
  <c r="H49" i="1"/>
  <c r="G49" i="1"/>
  <c r="D49" i="1"/>
  <c r="C49" i="1"/>
  <c r="B49" i="1"/>
  <c r="D134" i="1" l="1"/>
  <c r="I134" i="1"/>
  <c r="G134" i="1"/>
</calcChain>
</file>

<file path=xl/sharedStrings.xml><?xml version="1.0" encoding="utf-8"?>
<sst xmlns="http://schemas.openxmlformats.org/spreadsheetml/2006/main" count="215" uniqueCount="10">
  <si>
    <t>name</t>
  </si>
  <si>
    <t xml:space="preserve"> memory.used [MiB]</t>
  </si>
  <si>
    <t xml:space="preserve"> temperature.gpu</t>
  </si>
  <si>
    <t xml:space="preserve"> power.draw [W]</t>
  </si>
  <si>
    <t>NVIDIA GeForce RTX 3060</t>
  </si>
  <si>
    <t>NVIDIA GeForce RTX 3070</t>
  </si>
  <si>
    <t>AVERAGE</t>
  </si>
  <si>
    <t>ninemost_Three_1.csv</t>
  </si>
  <si>
    <t>Ninemost_Three_2.csv</t>
  </si>
  <si>
    <t>Ninemost_Three_3.csv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</si>
</sst>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16" fillId="33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ninemost_Three_1!$B$3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ninemost_Three_1!$B$4:$B$48</c:f>
              <c:numCache>
                <c:formatCode>General</c:formatCode>
                <c:ptCount val="45"/>
                <c:pt idx="0">
                  <c:v>4</c:v>
                </c:pt>
                <c:pt idx="1">
                  <c:v>15</c:v>
                </c:pt>
                <c:pt idx="2">
                  <c:v>158</c:v>
                </c:pt>
                <c:pt idx="3">
                  <c:v>158</c:v>
                </c:pt>
                <c:pt idx="4">
                  <c:v>158</c:v>
                </c:pt>
                <c:pt idx="5">
                  <c:v>158</c:v>
                </c:pt>
                <c:pt idx="6">
                  <c:v>158</c:v>
                </c:pt>
                <c:pt idx="7">
                  <c:v>158</c:v>
                </c:pt>
                <c:pt idx="8">
                  <c:v>158</c:v>
                </c:pt>
                <c:pt idx="9">
                  <c:v>158</c:v>
                </c:pt>
                <c:pt idx="10">
                  <c:v>158</c:v>
                </c:pt>
                <c:pt idx="11">
                  <c:v>158</c:v>
                </c:pt>
                <c:pt idx="12">
                  <c:v>158</c:v>
                </c:pt>
                <c:pt idx="13">
                  <c:v>5160</c:v>
                </c:pt>
                <c:pt idx="14">
                  <c:v>5160</c:v>
                </c:pt>
                <c:pt idx="15">
                  <c:v>5160</c:v>
                </c:pt>
                <c:pt idx="16">
                  <c:v>5160</c:v>
                </c:pt>
                <c:pt idx="17">
                  <c:v>5160</c:v>
                </c:pt>
                <c:pt idx="18">
                  <c:v>7032</c:v>
                </c:pt>
                <c:pt idx="19">
                  <c:v>7056</c:v>
                </c:pt>
                <c:pt idx="20">
                  <c:v>7060</c:v>
                </c:pt>
                <c:pt idx="21">
                  <c:v>7060</c:v>
                </c:pt>
                <c:pt idx="22">
                  <c:v>7060</c:v>
                </c:pt>
                <c:pt idx="23">
                  <c:v>7060</c:v>
                </c:pt>
                <c:pt idx="24">
                  <c:v>7060</c:v>
                </c:pt>
                <c:pt idx="25">
                  <c:v>7060</c:v>
                </c:pt>
                <c:pt idx="26">
                  <c:v>7060</c:v>
                </c:pt>
                <c:pt idx="27">
                  <c:v>7060</c:v>
                </c:pt>
                <c:pt idx="28">
                  <c:v>7060</c:v>
                </c:pt>
                <c:pt idx="29">
                  <c:v>7060</c:v>
                </c:pt>
                <c:pt idx="30">
                  <c:v>7060</c:v>
                </c:pt>
                <c:pt idx="31">
                  <c:v>7060</c:v>
                </c:pt>
                <c:pt idx="32">
                  <c:v>7060</c:v>
                </c:pt>
                <c:pt idx="33">
                  <c:v>7060</c:v>
                </c:pt>
                <c:pt idx="34">
                  <c:v>7060</c:v>
                </c:pt>
                <c:pt idx="35">
                  <c:v>7060</c:v>
                </c:pt>
                <c:pt idx="36">
                  <c:v>7060</c:v>
                </c:pt>
                <c:pt idx="37">
                  <c:v>7060</c:v>
                </c:pt>
                <c:pt idx="38">
                  <c:v>7060</c:v>
                </c:pt>
                <c:pt idx="39">
                  <c:v>7060</c:v>
                </c:pt>
                <c:pt idx="40">
                  <c:v>7060</c:v>
                </c:pt>
                <c:pt idx="41">
                  <c:v>7060</c:v>
                </c:pt>
                <c:pt idx="42">
                  <c:v>7060</c:v>
                </c:pt>
                <c:pt idx="43">
                  <c:v>7060</c:v>
                </c:pt>
                <c:pt idx="44">
                  <c:v>7060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AE-41F6-A5EC-071A06C2E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ninemost_Three_1!$C$3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ninemost_Three_1!$C$4:$C$48</c:f>
              <c:numCache>
                <c:formatCode>General</c:formatCode>
                <c:ptCount val="45"/>
                <c:pt idx="0">
                  <c:v>31</c:v>
                </c:pt>
                <c:pt idx="1">
                  <c:v>32</c:v>
                </c:pt>
                <c:pt idx="2">
                  <c:v>31</c:v>
                </c:pt>
                <c:pt idx="3">
                  <c:v>31</c:v>
                </c:pt>
                <c:pt idx="4">
                  <c:v>32</c:v>
                </c:pt>
                <c:pt idx="5">
                  <c:v>31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33</c:v>
                </c:pt>
                <c:pt idx="15">
                  <c:v>33</c:v>
                </c:pt>
                <c:pt idx="16">
                  <c:v>32</c:v>
                </c:pt>
                <c:pt idx="17">
                  <c:v>32</c:v>
                </c:pt>
                <c:pt idx="18">
                  <c:v>33</c:v>
                </c:pt>
                <c:pt idx="19">
                  <c:v>33</c:v>
                </c:pt>
                <c:pt idx="20">
                  <c:v>34</c:v>
                </c:pt>
                <c:pt idx="21">
                  <c:v>34</c:v>
                </c:pt>
                <c:pt idx="22">
                  <c:v>35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34</c:v>
                </c:pt>
                <c:pt idx="32">
                  <c:v>34</c:v>
                </c:pt>
                <c:pt idx="33">
                  <c:v>34</c:v>
                </c:pt>
                <c:pt idx="34">
                  <c:v>33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7F-4831-BFCA-3458B2ADC8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ninemost_Three_1!$D$3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ninemost_Three_1!$D$4:$D$48</c:f>
              <c:numCache>
                <c:formatCode>General</c:formatCode>
                <c:ptCount val="45"/>
                <c:pt idx="0">
                  <c:v>0.34</c:v>
                </c:pt>
                <c:pt idx="1">
                  <c:v>37.770000000000003</c:v>
                </c:pt>
                <c:pt idx="2">
                  <c:v>38.07</c:v>
                </c:pt>
                <c:pt idx="3">
                  <c:v>37.71</c:v>
                </c:pt>
                <c:pt idx="4">
                  <c:v>37.67</c:v>
                </c:pt>
                <c:pt idx="5">
                  <c:v>37.64</c:v>
                </c:pt>
                <c:pt idx="6">
                  <c:v>37.729999999999997</c:v>
                </c:pt>
                <c:pt idx="7">
                  <c:v>37.72</c:v>
                </c:pt>
                <c:pt idx="8">
                  <c:v>37.65</c:v>
                </c:pt>
                <c:pt idx="9">
                  <c:v>37.61</c:v>
                </c:pt>
                <c:pt idx="10">
                  <c:v>37.61</c:v>
                </c:pt>
                <c:pt idx="11">
                  <c:v>37.630000000000003</c:v>
                </c:pt>
                <c:pt idx="12">
                  <c:v>37.549999999999997</c:v>
                </c:pt>
                <c:pt idx="13">
                  <c:v>37.99</c:v>
                </c:pt>
                <c:pt idx="14">
                  <c:v>45.93</c:v>
                </c:pt>
                <c:pt idx="15">
                  <c:v>48.81</c:v>
                </c:pt>
                <c:pt idx="16">
                  <c:v>46.84</c:v>
                </c:pt>
                <c:pt idx="17">
                  <c:v>38.1</c:v>
                </c:pt>
                <c:pt idx="18">
                  <c:v>41.08</c:v>
                </c:pt>
                <c:pt idx="19">
                  <c:v>58.42</c:v>
                </c:pt>
                <c:pt idx="20">
                  <c:v>64.67</c:v>
                </c:pt>
                <c:pt idx="21">
                  <c:v>64.67</c:v>
                </c:pt>
                <c:pt idx="22">
                  <c:v>72.11</c:v>
                </c:pt>
                <c:pt idx="23">
                  <c:v>59.39</c:v>
                </c:pt>
                <c:pt idx="24">
                  <c:v>54.95</c:v>
                </c:pt>
                <c:pt idx="25">
                  <c:v>54.94</c:v>
                </c:pt>
                <c:pt idx="26">
                  <c:v>54.81</c:v>
                </c:pt>
                <c:pt idx="27">
                  <c:v>55.22</c:v>
                </c:pt>
                <c:pt idx="28">
                  <c:v>55.1</c:v>
                </c:pt>
                <c:pt idx="29">
                  <c:v>55.08</c:v>
                </c:pt>
                <c:pt idx="30">
                  <c:v>55.04</c:v>
                </c:pt>
                <c:pt idx="31">
                  <c:v>55.03</c:v>
                </c:pt>
                <c:pt idx="32">
                  <c:v>55.12</c:v>
                </c:pt>
                <c:pt idx="33">
                  <c:v>55.13</c:v>
                </c:pt>
                <c:pt idx="34">
                  <c:v>45.34</c:v>
                </c:pt>
                <c:pt idx="35">
                  <c:v>38.06</c:v>
                </c:pt>
                <c:pt idx="36">
                  <c:v>38.119999999999997</c:v>
                </c:pt>
                <c:pt idx="37">
                  <c:v>38.01</c:v>
                </c:pt>
                <c:pt idx="38">
                  <c:v>38.01</c:v>
                </c:pt>
                <c:pt idx="39">
                  <c:v>38</c:v>
                </c:pt>
                <c:pt idx="40">
                  <c:v>37.96</c:v>
                </c:pt>
                <c:pt idx="41">
                  <c:v>37.9</c:v>
                </c:pt>
                <c:pt idx="42">
                  <c:v>38.01</c:v>
                </c:pt>
                <c:pt idx="43">
                  <c:v>37.93</c:v>
                </c:pt>
                <c:pt idx="44">
                  <c:v>37.880000000000003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52-4E44-85F9-E0460722D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ninemost_Three_1!$G$3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ninemost_Three_1!$G$4:$G$48</c:f>
              <c:numCache>
                <c:formatCode>General</c:formatCode>
                <c:ptCount val="45"/>
                <c:pt idx="0">
                  <c:v>1</c:v>
                </c:pt>
                <c:pt idx="1">
                  <c:v>4</c:v>
                </c:pt>
                <c:pt idx="2">
                  <c:v>108</c:v>
                </c:pt>
                <c:pt idx="3">
                  <c:v>108</c:v>
                </c:pt>
                <c:pt idx="4">
                  <c:v>108</c:v>
                </c:pt>
                <c:pt idx="5">
                  <c:v>108</c:v>
                </c:pt>
                <c:pt idx="6">
                  <c:v>108</c:v>
                </c:pt>
                <c:pt idx="7">
                  <c:v>108</c:v>
                </c:pt>
                <c:pt idx="8">
                  <c:v>108</c:v>
                </c:pt>
                <c:pt idx="9">
                  <c:v>108</c:v>
                </c:pt>
                <c:pt idx="10">
                  <c:v>108</c:v>
                </c:pt>
                <c:pt idx="11">
                  <c:v>108</c:v>
                </c:pt>
                <c:pt idx="12">
                  <c:v>108</c:v>
                </c:pt>
                <c:pt idx="13">
                  <c:v>7574</c:v>
                </c:pt>
                <c:pt idx="14">
                  <c:v>7574</c:v>
                </c:pt>
                <c:pt idx="15">
                  <c:v>7574</c:v>
                </c:pt>
                <c:pt idx="16">
                  <c:v>7574</c:v>
                </c:pt>
                <c:pt idx="17">
                  <c:v>7574</c:v>
                </c:pt>
                <c:pt idx="18">
                  <c:v>8418</c:v>
                </c:pt>
                <c:pt idx="19">
                  <c:v>8442</c:v>
                </c:pt>
                <c:pt idx="20">
                  <c:v>8446</c:v>
                </c:pt>
                <c:pt idx="21">
                  <c:v>8446</c:v>
                </c:pt>
                <c:pt idx="22">
                  <c:v>8446</c:v>
                </c:pt>
                <c:pt idx="23">
                  <c:v>8446</c:v>
                </c:pt>
                <c:pt idx="24">
                  <c:v>8446</c:v>
                </c:pt>
                <c:pt idx="25">
                  <c:v>8446</c:v>
                </c:pt>
                <c:pt idx="26">
                  <c:v>8446</c:v>
                </c:pt>
                <c:pt idx="27">
                  <c:v>8446</c:v>
                </c:pt>
                <c:pt idx="28">
                  <c:v>8446</c:v>
                </c:pt>
                <c:pt idx="29">
                  <c:v>8446</c:v>
                </c:pt>
                <c:pt idx="30">
                  <c:v>8446</c:v>
                </c:pt>
                <c:pt idx="31">
                  <c:v>8446</c:v>
                </c:pt>
                <c:pt idx="32">
                  <c:v>8446</c:v>
                </c:pt>
                <c:pt idx="33">
                  <c:v>8446</c:v>
                </c:pt>
                <c:pt idx="34">
                  <c:v>8446</c:v>
                </c:pt>
                <c:pt idx="35">
                  <c:v>8446</c:v>
                </c:pt>
                <c:pt idx="36">
                  <c:v>8446</c:v>
                </c:pt>
                <c:pt idx="37">
                  <c:v>8446</c:v>
                </c:pt>
                <c:pt idx="38">
                  <c:v>8446</c:v>
                </c:pt>
                <c:pt idx="39">
                  <c:v>8446</c:v>
                </c:pt>
                <c:pt idx="40">
                  <c:v>8446</c:v>
                </c:pt>
                <c:pt idx="41">
                  <c:v>8446</c:v>
                </c:pt>
                <c:pt idx="42">
                  <c:v>8446</c:v>
                </c:pt>
                <c:pt idx="43">
                  <c:v>8446</c:v>
                </c:pt>
                <c:pt idx="44">
                  <c:v>8446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5F-477F-B026-EBB91E3FF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ninemost_Three_1!$H$3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ninemost_Three_1!$H$4:$H$48</c:f>
              <c:numCache>
                <c:formatCode>General</c:formatCode>
                <c:ptCount val="45"/>
                <c:pt idx="0">
                  <c:v>33</c:v>
                </c:pt>
                <c:pt idx="1">
                  <c:v>33</c:v>
                </c:pt>
                <c:pt idx="2">
                  <c:v>33</c:v>
                </c:pt>
                <c:pt idx="3">
                  <c:v>33</c:v>
                </c:pt>
                <c:pt idx="4">
                  <c:v>33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33</c:v>
                </c:pt>
                <c:pt idx="9">
                  <c:v>33</c:v>
                </c:pt>
                <c:pt idx="10">
                  <c:v>33</c:v>
                </c:pt>
                <c:pt idx="11">
                  <c:v>33</c:v>
                </c:pt>
                <c:pt idx="12">
                  <c:v>33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35</c:v>
                </c:pt>
                <c:pt idx="20">
                  <c:v>35</c:v>
                </c:pt>
                <c:pt idx="21">
                  <c:v>39</c:v>
                </c:pt>
                <c:pt idx="22">
                  <c:v>39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41</c:v>
                </c:pt>
                <c:pt idx="27">
                  <c:v>41</c:v>
                </c:pt>
                <c:pt idx="28">
                  <c:v>41</c:v>
                </c:pt>
                <c:pt idx="29">
                  <c:v>42</c:v>
                </c:pt>
                <c:pt idx="30">
                  <c:v>42</c:v>
                </c:pt>
                <c:pt idx="31">
                  <c:v>42</c:v>
                </c:pt>
                <c:pt idx="32">
                  <c:v>42</c:v>
                </c:pt>
                <c:pt idx="33">
                  <c:v>43</c:v>
                </c:pt>
                <c:pt idx="34">
                  <c:v>38</c:v>
                </c:pt>
                <c:pt idx="35">
                  <c:v>37</c:v>
                </c:pt>
                <c:pt idx="36">
                  <c:v>37</c:v>
                </c:pt>
                <c:pt idx="37">
                  <c:v>37</c:v>
                </c:pt>
                <c:pt idx="38">
                  <c:v>37</c:v>
                </c:pt>
                <c:pt idx="39">
                  <c:v>37</c:v>
                </c:pt>
                <c:pt idx="40">
                  <c:v>37</c:v>
                </c:pt>
                <c:pt idx="41">
                  <c:v>37</c:v>
                </c:pt>
                <c:pt idx="42">
                  <c:v>37</c:v>
                </c:pt>
                <c:pt idx="43">
                  <c:v>37</c:v>
                </c:pt>
                <c:pt idx="4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8A-4470-AAC5-80939AA7FBE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ninemost_Three_1!$I$3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ninemost_Three_1!$I$4:$I$48</c:f>
              <c:numCache>
                <c:formatCode>General</c:formatCode>
                <c:ptCount val="45"/>
                <c:pt idx="0">
                  <c:v>43.48</c:v>
                </c:pt>
                <c:pt idx="1">
                  <c:v>44.03</c:v>
                </c:pt>
                <c:pt idx="2">
                  <c:v>43.81</c:v>
                </c:pt>
                <c:pt idx="3">
                  <c:v>43.71</c:v>
                </c:pt>
                <c:pt idx="4">
                  <c:v>43.71</c:v>
                </c:pt>
                <c:pt idx="5">
                  <c:v>43.67</c:v>
                </c:pt>
                <c:pt idx="6">
                  <c:v>43.71</c:v>
                </c:pt>
                <c:pt idx="7">
                  <c:v>43.71</c:v>
                </c:pt>
                <c:pt idx="8">
                  <c:v>43.73</c:v>
                </c:pt>
                <c:pt idx="9">
                  <c:v>43.77</c:v>
                </c:pt>
                <c:pt idx="10">
                  <c:v>43.78</c:v>
                </c:pt>
                <c:pt idx="11">
                  <c:v>43.77</c:v>
                </c:pt>
                <c:pt idx="12">
                  <c:v>43.71</c:v>
                </c:pt>
                <c:pt idx="13">
                  <c:v>43.7</c:v>
                </c:pt>
                <c:pt idx="14">
                  <c:v>43.8</c:v>
                </c:pt>
                <c:pt idx="15">
                  <c:v>50.9</c:v>
                </c:pt>
                <c:pt idx="16">
                  <c:v>52.82</c:v>
                </c:pt>
                <c:pt idx="17">
                  <c:v>45.37</c:v>
                </c:pt>
                <c:pt idx="18">
                  <c:v>45.56</c:v>
                </c:pt>
                <c:pt idx="19">
                  <c:v>55.96</c:v>
                </c:pt>
                <c:pt idx="20">
                  <c:v>68.069999999999993</c:v>
                </c:pt>
                <c:pt idx="21">
                  <c:v>82.19</c:v>
                </c:pt>
                <c:pt idx="22">
                  <c:v>114</c:v>
                </c:pt>
                <c:pt idx="23">
                  <c:v>112.84</c:v>
                </c:pt>
                <c:pt idx="24">
                  <c:v>114.07</c:v>
                </c:pt>
                <c:pt idx="25">
                  <c:v>114.03</c:v>
                </c:pt>
                <c:pt idx="26">
                  <c:v>113.87</c:v>
                </c:pt>
                <c:pt idx="27">
                  <c:v>113.96</c:v>
                </c:pt>
                <c:pt idx="28">
                  <c:v>114.22</c:v>
                </c:pt>
                <c:pt idx="29">
                  <c:v>114.5</c:v>
                </c:pt>
                <c:pt idx="30">
                  <c:v>114.55</c:v>
                </c:pt>
                <c:pt idx="31">
                  <c:v>114.67</c:v>
                </c:pt>
                <c:pt idx="32">
                  <c:v>114.51</c:v>
                </c:pt>
                <c:pt idx="33">
                  <c:v>114.96</c:v>
                </c:pt>
                <c:pt idx="34">
                  <c:v>77.25</c:v>
                </c:pt>
                <c:pt idx="35">
                  <c:v>52.36</c:v>
                </c:pt>
                <c:pt idx="36">
                  <c:v>45.3</c:v>
                </c:pt>
                <c:pt idx="37">
                  <c:v>44.24</c:v>
                </c:pt>
                <c:pt idx="38">
                  <c:v>44.21</c:v>
                </c:pt>
                <c:pt idx="39">
                  <c:v>44.23</c:v>
                </c:pt>
                <c:pt idx="40">
                  <c:v>44.29</c:v>
                </c:pt>
                <c:pt idx="41">
                  <c:v>44.28</c:v>
                </c:pt>
                <c:pt idx="42">
                  <c:v>44.26</c:v>
                </c:pt>
                <c:pt idx="43">
                  <c:v>44.29</c:v>
                </c:pt>
                <c:pt idx="44">
                  <c:v>44.21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F2-44DC-AB25-BED0AE6B8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ninemost_Three_1!$B$3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ninemost_Three_1!$B$53:$B$68</c:f>
              <c:numCache>
                <c:formatCode>General</c:formatCode>
                <c:ptCount val="16"/>
                <c:pt idx="0">
                  <c:v>7060</c:v>
                </c:pt>
                <c:pt idx="1">
                  <c:v>7060</c:v>
                </c:pt>
                <c:pt idx="2">
                  <c:v>7060</c:v>
                </c:pt>
                <c:pt idx="3">
                  <c:v>7060</c:v>
                </c:pt>
                <c:pt idx="4">
                  <c:v>7060</c:v>
                </c:pt>
                <c:pt idx="5">
                  <c:v>7060</c:v>
                </c:pt>
                <c:pt idx="6">
                  <c:v>7060</c:v>
                </c:pt>
                <c:pt idx="7">
                  <c:v>7060</c:v>
                </c:pt>
                <c:pt idx="8">
                  <c:v>7060</c:v>
                </c:pt>
                <c:pt idx="9">
                  <c:v>7060</c:v>
                </c:pt>
                <c:pt idx="10">
                  <c:v>7060</c:v>
                </c:pt>
                <c:pt idx="11">
                  <c:v>7060</c:v>
                </c:pt>
                <c:pt idx="12">
                  <c:v>7060</c:v>
                </c:pt>
                <c:pt idx="13">
                  <c:v>7060</c:v>
                </c:pt>
                <c:pt idx="14">
                  <c:v>7060</c:v>
                </c:pt>
                <c:pt idx="15">
                  <c:v>7060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9D-4D4D-92EA-099D34D3B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ninemost_Three_1!$C$3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ninemost_Three_1!$C$53:$C$68</c:f>
              <c:numCache>
                <c:formatCode>General</c:formatCode>
                <c:ptCount val="16"/>
                <c:pt idx="0">
                  <c:v>23</c:v>
                </c:pt>
                <c:pt idx="1">
                  <c:v>24</c:v>
                </c:pt>
                <c:pt idx="2">
                  <c:v>26</c:v>
                </c:pt>
                <c:pt idx="3">
                  <c:v>28</c:v>
                </c:pt>
                <c:pt idx="4">
                  <c:v>28</c:v>
                </c:pt>
                <c:pt idx="5">
                  <c:v>27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B8-4749-A676-3683863E1F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ninemost_Three_1!$D$3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ninemost_Three_1!$D$53:$D$68</c:f>
              <c:numCache>
                <c:formatCode>General</c:formatCode>
                <c:ptCount val="16"/>
                <c:pt idx="0">
                  <c:v>5.91</c:v>
                </c:pt>
                <c:pt idx="1">
                  <c:v>5.94</c:v>
                </c:pt>
                <c:pt idx="2">
                  <c:v>22.29</c:v>
                </c:pt>
                <c:pt idx="3">
                  <c:v>64.98</c:v>
                </c:pt>
                <c:pt idx="4">
                  <c:v>71.5</c:v>
                </c:pt>
                <c:pt idx="5">
                  <c:v>57.28</c:v>
                </c:pt>
                <c:pt idx="6">
                  <c:v>54.04</c:v>
                </c:pt>
                <c:pt idx="7">
                  <c:v>54.23</c:v>
                </c:pt>
                <c:pt idx="8">
                  <c:v>54.32</c:v>
                </c:pt>
                <c:pt idx="9">
                  <c:v>54.05</c:v>
                </c:pt>
                <c:pt idx="10">
                  <c:v>54.03</c:v>
                </c:pt>
                <c:pt idx="11">
                  <c:v>54.2</c:v>
                </c:pt>
                <c:pt idx="12">
                  <c:v>54.06</c:v>
                </c:pt>
                <c:pt idx="13">
                  <c:v>45.73</c:v>
                </c:pt>
                <c:pt idx="14">
                  <c:v>39.549999999999997</c:v>
                </c:pt>
                <c:pt idx="15">
                  <c:v>36.57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B2-46BB-9001-2BD4FD7D2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ninemost_Three_1!$G$3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ninemost_Three_1!$G$53:$G$68</c:f>
              <c:numCache>
                <c:formatCode>General</c:formatCode>
                <c:ptCount val="16"/>
                <c:pt idx="0">
                  <c:v>8446</c:v>
                </c:pt>
                <c:pt idx="1">
                  <c:v>8446</c:v>
                </c:pt>
                <c:pt idx="2">
                  <c:v>8446</c:v>
                </c:pt>
                <c:pt idx="3">
                  <c:v>8446</c:v>
                </c:pt>
                <c:pt idx="4">
                  <c:v>8446</c:v>
                </c:pt>
                <c:pt idx="5">
                  <c:v>8446</c:v>
                </c:pt>
                <c:pt idx="6">
                  <c:v>8446</c:v>
                </c:pt>
                <c:pt idx="7">
                  <c:v>8446</c:v>
                </c:pt>
                <c:pt idx="8">
                  <c:v>8446</c:v>
                </c:pt>
                <c:pt idx="9">
                  <c:v>8446</c:v>
                </c:pt>
                <c:pt idx="10">
                  <c:v>8446</c:v>
                </c:pt>
                <c:pt idx="11">
                  <c:v>8446</c:v>
                </c:pt>
                <c:pt idx="12">
                  <c:v>8446</c:v>
                </c:pt>
                <c:pt idx="13">
                  <c:v>8446</c:v>
                </c:pt>
                <c:pt idx="14">
                  <c:v>8446</c:v>
                </c:pt>
                <c:pt idx="15">
                  <c:v>8446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2C-4D96-AC92-1BF8BD78C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ninemost_Three_1!$H$3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ninemost_Three_1!$H$53:$H$68</c:f>
              <c:numCache>
                <c:formatCode>General</c:formatCode>
                <c:ptCount val="16"/>
                <c:pt idx="0">
                  <c:v>29</c:v>
                </c:pt>
                <c:pt idx="1">
                  <c:v>28</c:v>
                </c:pt>
                <c:pt idx="2">
                  <c:v>31</c:v>
                </c:pt>
                <c:pt idx="3">
                  <c:v>35</c:v>
                </c:pt>
                <c:pt idx="4">
                  <c:v>36</c:v>
                </c:pt>
                <c:pt idx="5">
                  <c:v>36</c:v>
                </c:pt>
                <c:pt idx="6">
                  <c:v>37</c:v>
                </c:pt>
                <c:pt idx="7">
                  <c:v>37</c:v>
                </c:pt>
                <c:pt idx="8">
                  <c:v>37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38</c:v>
                </c:pt>
                <c:pt idx="13">
                  <c:v>34</c:v>
                </c:pt>
                <c:pt idx="14">
                  <c:v>34</c:v>
                </c:pt>
                <c:pt idx="15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51-4B57-BF60-456B533075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ninemost_Three_1!$I$3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ninemost_Three_1!$I$53:$I$68</c:f>
              <c:numCache>
                <c:formatCode>General</c:formatCode>
                <c:ptCount val="16"/>
                <c:pt idx="0">
                  <c:v>14.75</c:v>
                </c:pt>
                <c:pt idx="1">
                  <c:v>14.74</c:v>
                </c:pt>
                <c:pt idx="2">
                  <c:v>38.01</c:v>
                </c:pt>
                <c:pt idx="3">
                  <c:v>79.459999999999994</c:v>
                </c:pt>
                <c:pt idx="4">
                  <c:v>116.38</c:v>
                </c:pt>
                <c:pt idx="5">
                  <c:v>115.61</c:v>
                </c:pt>
                <c:pt idx="6">
                  <c:v>115.96</c:v>
                </c:pt>
                <c:pt idx="7">
                  <c:v>116.26</c:v>
                </c:pt>
                <c:pt idx="8">
                  <c:v>116.39</c:v>
                </c:pt>
                <c:pt idx="9">
                  <c:v>115.83</c:v>
                </c:pt>
                <c:pt idx="10">
                  <c:v>116.5</c:v>
                </c:pt>
                <c:pt idx="11">
                  <c:v>116.52</c:v>
                </c:pt>
                <c:pt idx="12">
                  <c:v>116.37</c:v>
                </c:pt>
                <c:pt idx="13">
                  <c:v>89.7</c:v>
                </c:pt>
                <c:pt idx="14">
                  <c:v>61.24</c:v>
                </c:pt>
                <c:pt idx="15">
                  <c:v>50.45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2-48FD-B6BD-AA09E0C41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ninemost_Three_1!$B$3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ninemost_Three_1!$B$104:$B$125</c:f>
              <c:numCache>
                <c:formatCode>General</c:formatCode>
                <c:ptCount val="22"/>
                <c:pt idx="0">
                  <c:v>7060</c:v>
                </c:pt>
                <c:pt idx="1">
                  <c:v>7060</c:v>
                </c:pt>
                <c:pt idx="2">
                  <c:v>7060</c:v>
                </c:pt>
                <c:pt idx="3">
                  <c:v>7060</c:v>
                </c:pt>
                <c:pt idx="4">
                  <c:v>7060</c:v>
                </c:pt>
                <c:pt idx="5">
                  <c:v>7060</c:v>
                </c:pt>
                <c:pt idx="6">
                  <c:v>7060</c:v>
                </c:pt>
                <c:pt idx="7">
                  <c:v>7060</c:v>
                </c:pt>
                <c:pt idx="8">
                  <c:v>7060</c:v>
                </c:pt>
                <c:pt idx="9">
                  <c:v>7060</c:v>
                </c:pt>
                <c:pt idx="10">
                  <c:v>7060</c:v>
                </c:pt>
                <c:pt idx="11">
                  <c:v>7060</c:v>
                </c:pt>
                <c:pt idx="12">
                  <c:v>7060</c:v>
                </c:pt>
                <c:pt idx="13">
                  <c:v>7060</c:v>
                </c:pt>
                <c:pt idx="14">
                  <c:v>7060</c:v>
                </c:pt>
                <c:pt idx="15">
                  <c:v>7060</c:v>
                </c:pt>
                <c:pt idx="16">
                  <c:v>7060</c:v>
                </c:pt>
                <c:pt idx="17">
                  <c:v>7060</c:v>
                </c:pt>
                <c:pt idx="18">
                  <c:v>7060</c:v>
                </c:pt>
                <c:pt idx="19">
                  <c:v>7060</c:v>
                </c:pt>
                <c:pt idx="20">
                  <c:v>7060</c:v>
                </c:pt>
                <c:pt idx="21">
                  <c:v>7060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82-42D8-906B-8C79BD694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ninemost_Three_1!$C$3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ninemost_Three_1!$C$104:$C$125</c:f>
              <c:numCache>
                <c:formatCode>General</c:formatCode>
                <c:ptCount val="22"/>
                <c:pt idx="0">
                  <c:v>29</c:v>
                </c:pt>
                <c:pt idx="1">
                  <c:v>30</c:v>
                </c:pt>
                <c:pt idx="2">
                  <c:v>31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6D-40B1-A27D-DF7E34E2BE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ninemost_Three_1!$D$3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ninemost_Three_1!$D$104:$D$125</c:f>
              <c:numCache>
                <c:formatCode>General</c:formatCode>
                <c:ptCount val="22"/>
                <c:pt idx="0">
                  <c:v>21.79</c:v>
                </c:pt>
                <c:pt idx="1">
                  <c:v>66.650000000000006</c:v>
                </c:pt>
                <c:pt idx="2">
                  <c:v>71.89</c:v>
                </c:pt>
                <c:pt idx="3">
                  <c:v>57.6</c:v>
                </c:pt>
                <c:pt idx="4">
                  <c:v>54.48</c:v>
                </c:pt>
                <c:pt idx="5">
                  <c:v>54.31</c:v>
                </c:pt>
                <c:pt idx="6">
                  <c:v>54.23</c:v>
                </c:pt>
                <c:pt idx="7">
                  <c:v>54.32</c:v>
                </c:pt>
                <c:pt idx="8">
                  <c:v>54.31</c:v>
                </c:pt>
                <c:pt idx="9">
                  <c:v>54.38</c:v>
                </c:pt>
                <c:pt idx="10">
                  <c:v>54.62</c:v>
                </c:pt>
                <c:pt idx="11">
                  <c:v>54.52</c:v>
                </c:pt>
                <c:pt idx="12">
                  <c:v>54.51</c:v>
                </c:pt>
                <c:pt idx="13">
                  <c:v>54.72</c:v>
                </c:pt>
                <c:pt idx="14">
                  <c:v>55.17</c:v>
                </c:pt>
                <c:pt idx="15">
                  <c:v>55.06</c:v>
                </c:pt>
                <c:pt idx="16">
                  <c:v>55.26</c:v>
                </c:pt>
                <c:pt idx="17">
                  <c:v>55.28</c:v>
                </c:pt>
                <c:pt idx="18">
                  <c:v>55.09</c:v>
                </c:pt>
                <c:pt idx="19">
                  <c:v>55.11</c:v>
                </c:pt>
                <c:pt idx="20">
                  <c:v>51.89</c:v>
                </c:pt>
                <c:pt idx="21">
                  <c:v>40.57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C-4460-90FE-F711B22A8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ninemost_Three_1!$G$3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ninemost_Three_1!$G$104:$G$125</c:f>
              <c:numCache>
                <c:formatCode>General</c:formatCode>
                <c:ptCount val="22"/>
                <c:pt idx="0">
                  <c:v>8446</c:v>
                </c:pt>
                <c:pt idx="1">
                  <c:v>8446</c:v>
                </c:pt>
                <c:pt idx="2">
                  <c:v>8446</c:v>
                </c:pt>
                <c:pt idx="3">
                  <c:v>8446</c:v>
                </c:pt>
                <c:pt idx="4">
                  <c:v>8446</c:v>
                </c:pt>
                <c:pt idx="5">
                  <c:v>8446</c:v>
                </c:pt>
                <c:pt idx="6">
                  <c:v>8446</c:v>
                </c:pt>
                <c:pt idx="7">
                  <c:v>8446</c:v>
                </c:pt>
                <c:pt idx="8">
                  <c:v>8446</c:v>
                </c:pt>
                <c:pt idx="9">
                  <c:v>8446</c:v>
                </c:pt>
                <c:pt idx="10">
                  <c:v>8446</c:v>
                </c:pt>
                <c:pt idx="11">
                  <c:v>8446</c:v>
                </c:pt>
                <c:pt idx="12">
                  <c:v>8446</c:v>
                </c:pt>
                <c:pt idx="13">
                  <c:v>8446</c:v>
                </c:pt>
                <c:pt idx="14">
                  <c:v>8446</c:v>
                </c:pt>
                <c:pt idx="15">
                  <c:v>8446</c:v>
                </c:pt>
                <c:pt idx="16">
                  <c:v>8446</c:v>
                </c:pt>
                <c:pt idx="17">
                  <c:v>8446</c:v>
                </c:pt>
                <c:pt idx="18">
                  <c:v>8446</c:v>
                </c:pt>
                <c:pt idx="19">
                  <c:v>8446</c:v>
                </c:pt>
                <c:pt idx="20">
                  <c:v>8446</c:v>
                </c:pt>
                <c:pt idx="21">
                  <c:v>8446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E-40FB-8354-EF6137711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ninemost_Three_1!$H$3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ninemost_Three_1!$H$104:$H$125</c:f>
              <c:numCache>
                <c:formatCode>General</c:formatCode>
                <c:ptCount val="22"/>
                <c:pt idx="0">
                  <c:v>34</c:v>
                </c:pt>
                <c:pt idx="1">
                  <c:v>38</c:v>
                </c:pt>
                <c:pt idx="2">
                  <c:v>39</c:v>
                </c:pt>
                <c:pt idx="3">
                  <c:v>39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41</c:v>
                </c:pt>
                <c:pt idx="9">
                  <c:v>41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42</c:v>
                </c:pt>
                <c:pt idx="15">
                  <c:v>42</c:v>
                </c:pt>
                <c:pt idx="16">
                  <c:v>43</c:v>
                </c:pt>
                <c:pt idx="17">
                  <c:v>43</c:v>
                </c:pt>
                <c:pt idx="18">
                  <c:v>43</c:v>
                </c:pt>
                <c:pt idx="19">
                  <c:v>43</c:v>
                </c:pt>
                <c:pt idx="20">
                  <c:v>40</c:v>
                </c:pt>
                <c:pt idx="2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D-4E3C-A24E-FDA71B78E8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ninemost_Three_1!$I$3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ninemost_Three_1!$I$104:$I$125</c:f>
              <c:numCache>
                <c:formatCode>General</c:formatCode>
                <c:ptCount val="22"/>
                <c:pt idx="0">
                  <c:v>32.65</c:v>
                </c:pt>
                <c:pt idx="1">
                  <c:v>95.69</c:v>
                </c:pt>
                <c:pt idx="2">
                  <c:v>117.15</c:v>
                </c:pt>
                <c:pt idx="3">
                  <c:v>116.37</c:v>
                </c:pt>
                <c:pt idx="4">
                  <c:v>116.85</c:v>
                </c:pt>
                <c:pt idx="5">
                  <c:v>116.18</c:v>
                </c:pt>
                <c:pt idx="6">
                  <c:v>116.71</c:v>
                </c:pt>
                <c:pt idx="7">
                  <c:v>116.5</c:v>
                </c:pt>
                <c:pt idx="8">
                  <c:v>117.05</c:v>
                </c:pt>
                <c:pt idx="9">
                  <c:v>117.3</c:v>
                </c:pt>
                <c:pt idx="10">
                  <c:v>117.28</c:v>
                </c:pt>
                <c:pt idx="11">
                  <c:v>117.11</c:v>
                </c:pt>
                <c:pt idx="12">
                  <c:v>117.51</c:v>
                </c:pt>
                <c:pt idx="13">
                  <c:v>117.63</c:v>
                </c:pt>
                <c:pt idx="14">
                  <c:v>117.58</c:v>
                </c:pt>
                <c:pt idx="15">
                  <c:v>117.21</c:v>
                </c:pt>
                <c:pt idx="16">
                  <c:v>117.55</c:v>
                </c:pt>
                <c:pt idx="17">
                  <c:v>117.83</c:v>
                </c:pt>
                <c:pt idx="18">
                  <c:v>117.27</c:v>
                </c:pt>
                <c:pt idx="19">
                  <c:v>117.65</c:v>
                </c:pt>
                <c:pt idx="20">
                  <c:v>104.23</c:v>
                </c:pt>
                <c:pt idx="21">
                  <c:v>62.99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A-4824-8FCB-4B9D9B64A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1</xdr:row>
      <xdr:rowOff>152400</xdr:rowOff>
    </xdr:from>
    <xdr:to>
      <xdr:col>24</xdr:col>
      <xdr:colOff>273009</xdr:colOff>
      <xdr:row>25</xdr:row>
      <xdr:rowOff>100013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4B3EA5-B8A0-42BA-B1C0-5A455B5EF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381000</xdr:colOff>
      <xdr:row>2</xdr:row>
      <xdr:rowOff>0</xdr:rowOff>
    </xdr:from>
    <xdr:to>
      <xdr:col>38</xdr:col>
      <xdr:colOff>135081</xdr:colOff>
      <xdr:row>25</xdr:row>
      <xdr:rowOff>100013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2C849B-B46D-4EA9-A223-A76BD5978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342900</xdr:colOff>
      <xdr:row>2</xdr:row>
      <xdr:rowOff>0</xdr:rowOff>
    </xdr:from>
    <xdr:to>
      <xdr:col>50</xdr:col>
      <xdr:colOff>161678</xdr:colOff>
      <xdr:row>25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A24625-87BC-4AD7-B639-F48F0595B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452438</xdr:colOff>
      <xdr:row>26</xdr:row>
      <xdr:rowOff>23813</xdr:rowOff>
    </xdr:from>
    <xdr:to>
      <xdr:col>24</xdr:col>
      <xdr:colOff>268247</xdr:colOff>
      <xdr:row>49</xdr:row>
      <xdr:rowOff>161926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8CAFB8-2EEF-4202-A2DD-4DAFE76B2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381000</xdr:colOff>
      <xdr:row>26</xdr:row>
      <xdr:rowOff>47625</xdr:rowOff>
    </xdr:from>
    <xdr:to>
      <xdr:col>38</xdr:col>
      <xdr:colOff>135081</xdr:colOff>
      <xdr:row>49</xdr:row>
      <xdr:rowOff>147638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871D1C-7173-459A-9911-E7410086F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309563</xdr:colOff>
      <xdr:row>26</xdr:row>
      <xdr:rowOff>71438</xdr:rowOff>
    </xdr:from>
    <xdr:to>
      <xdr:col>50</xdr:col>
      <xdr:colOff>128341</xdr:colOff>
      <xdr:row>49</xdr:row>
      <xdr:rowOff>176213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45401B-B521-4591-A61B-0730A5951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428625</xdr:colOff>
      <xdr:row>51</xdr:row>
      <xdr:rowOff>47625</xdr:rowOff>
    </xdr:from>
    <xdr:to>
      <xdr:col>24</xdr:col>
      <xdr:colOff>244434</xdr:colOff>
      <xdr:row>74</xdr:row>
      <xdr:rowOff>185738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C553CE0-0F54-4194-8615-CB7AE375A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428625</xdr:colOff>
      <xdr:row>51</xdr:row>
      <xdr:rowOff>47625</xdr:rowOff>
    </xdr:from>
    <xdr:to>
      <xdr:col>38</xdr:col>
      <xdr:colOff>182706</xdr:colOff>
      <xdr:row>74</xdr:row>
      <xdr:rowOff>147638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C2094F1-4CD6-45D0-BA47-AFD936FCD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333375</xdr:colOff>
      <xdr:row>51</xdr:row>
      <xdr:rowOff>47625</xdr:rowOff>
    </xdr:from>
    <xdr:to>
      <xdr:col>50</xdr:col>
      <xdr:colOff>152153</xdr:colOff>
      <xdr:row>74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3D291CF-4C00-4585-928B-66E0DC5BE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428625</xdr:colOff>
      <xdr:row>76</xdr:row>
      <xdr:rowOff>23812</xdr:rowOff>
    </xdr:from>
    <xdr:to>
      <xdr:col>24</xdr:col>
      <xdr:colOff>244434</xdr:colOff>
      <xdr:row>99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5A2E320-7113-45EB-8C39-85678071B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381000</xdr:colOff>
      <xdr:row>76</xdr:row>
      <xdr:rowOff>71438</xdr:rowOff>
    </xdr:from>
    <xdr:to>
      <xdr:col>38</xdr:col>
      <xdr:colOff>135081</xdr:colOff>
      <xdr:row>99</xdr:row>
      <xdr:rowOff>171451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01FA27E-B5C4-4C0E-81EF-3B4EE6656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38</xdr:col>
      <xdr:colOff>333375</xdr:colOff>
      <xdr:row>76</xdr:row>
      <xdr:rowOff>71438</xdr:rowOff>
    </xdr:from>
    <xdr:to>
      <xdr:col>50</xdr:col>
      <xdr:colOff>152153</xdr:colOff>
      <xdr:row>99</xdr:row>
      <xdr:rowOff>176213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E1562FB-2E2F-4463-B634-7E34C36F4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357187</xdr:colOff>
      <xdr:row>102</xdr:row>
      <xdr:rowOff>23812</xdr:rowOff>
    </xdr:from>
    <xdr:to>
      <xdr:col>24</xdr:col>
      <xdr:colOff>172996</xdr:colOff>
      <xdr:row>125</xdr:row>
      <xdr:rowOff>161925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5F0E662-C47A-411E-8A2D-251D9B6C7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285750</xdr:colOff>
      <xdr:row>102</xdr:row>
      <xdr:rowOff>47625</xdr:rowOff>
    </xdr:from>
    <xdr:to>
      <xdr:col>38</xdr:col>
      <xdr:colOff>39831</xdr:colOff>
      <xdr:row>125</xdr:row>
      <xdr:rowOff>147638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6896489-A28F-46C6-A1EC-3AB1C58DD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38</xdr:col>
      <xdr:colOff>261938</xdr:colOff>
      <xdr:row>102</xdr:row>
      <xdr:rowOff>47625</xdr:rowOff>
    </xdr:from>
    <xdr:to>
      <xdr:col>50</xdr:col>
      <xdr:colOff>80716</xdr:colOff>
      <xdr:row>125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C11F630-B398-40C6-A6FD-1CAA45DC6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309562</xdr:colOff>
      <xdr:row>127</xdr:row>
      <xdr:rowOff>47625</xdr:rowOff>
    </xdr:from>
    <xdr:to>
      <xdr:col>24</xdr:col>
      <xdr:colOff>125371</xdr:colOff>
      <xdr:row>150</xdr:row>
      <xdr:rowOff>185738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E73E943-A079-42D2-A0BA-2AB413B5E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261938</xdr:colOff>
      <xdr:row>127</xdr:row>
      <xdr:rowOff>23812</xdr:rowOff>
    </xdr:from>
    <xdr:to>
      <xdr:col>38</xdr:col>
      <xdr:colOff>16019</xdr:colOff>
      <xdr:row>150</xdr:row>
      <xdr:rowOff>123825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3193B5A-90A3-4000-9DBE-0AA49917C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38</xdr:col>
      <xdr:colOff>190500</xdr:colOff>
      <xdr:row>127</xdr:row>
      <xdr:rowOff>47625</xdr:rowOff>
    </xdr:from>
    <xdr:to>
      <xdr:col>50</xdr:col>
      <xdr:colOff>9278</xdr:colOff>
      <xdr:row>150</xdr:row>
      <xdr:rowOff>152400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792058B-ECAE-41CC-B666-ECA2D7814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\Desktop\2026%20Y3%20BIT\trimester2\Capstone\BHB-Capstone\Metrics\Foremost\ninemost_NINE.xlsx" TargetMode="External"/><Relationship Id="rId1" Type="http://schemas.openxmlformats.org/officeDocument/2006/relationships/externalLinkPath" Target="ninemost_N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nemost_NINE_1"/>
    </sheetNames>
    <sheetDataSet>
      <sheetData sheetId="0">
        <row r="3">
          <cell r="G3" t="str">
            <v xml:space="preserve"> memory.used [MiB]</v>
          </cell>
          <cell r="H3" t="str">
            <v xml:space="preserve"> temperature.gpu</v>
          </cell>
          <cell r="I3" t="str">
            <v xml:space="preserve"> power.draw [W]</v>
          </cell>
        </row>
        <row r="105">
          <cell r="G105">
            <v>8448</v>
          </cell>
          <cell r="H105">
            <v>35</v>
          </cell>
          <cell r="I105">
            <v>43.88</v>
          </cell>
        </row>
        <row r="106">
          <cell r="G106">
            <v>8448</v>
          </cell>
          <cell r="H106">
            <v>35</v>
          </cell>
          <cell r="I106">
            <v>43.97</v>
          </cell>
        </row>
        <row r="107">
          <cell r="G107">
            <v>8448</v>
          </cell>
          <cell r="H107">
            <v>34</v>
          </cell>
          <cell r="I107">
            <v>44</v>
          </cell>
        </row>
        <row r="108">
          <cell r="G108">
            <v>8448</v>
          </cell>
          <cell r="H108">
            <v>37</v>
          </cell>
          <cell r="I108">
            <v>33.46</v>
          </cell>
        </row>
        <row r="109">
          <cell r="G109">
            <v>8448</v>
          </cell>
          <cell r="H109">
            <v>40</v>
          </cell>
          <cell r="I109">
            <v>81.33</v>
          </cell>
        </row>
        <row r="110">
          <cell r="G110">
            <v>8448</v>
          </cell>
          <cell r="H110">
            <v>41</v>
          </cell>
          <cell r="I110">
            <v>116.58</v>
          </cell>
        </row>
        <row r="111">
          <cell r="G111">
            <v>8448</v>
          </cell>
          <cell r="H111">
            <v>41</v>
          </cell>
          <cell r="I111">
            <v>116.73</v>
          </cell>
        </row>
        <row r="112">
          <cell r="G112">
            <v>8448</v>
          </cell>
          <cell r="H112">
            <v>42</v>
          </cell>
          <cell r="I112">
            <v>116.91</v>
          </cell>
        </row>
        <row r="113">
          <cell r="G113">
            <v>8448</v>
          </cell>
          <cell r="H113">
            <v>42</v>
          </cell>
          <cell r="I113">
            <v>116.49</v>
          </cell>
        </row>
        <row r="114">
          <cell r="G114">
            <v>8448</v>
          </cell>
          <cell r="H114">
            <v>42</v>
          </cell>
          <cell r="I114">
            <v>117</v>
          </cell>
        </row>
        <row r="115">
          <cell r="G115">
            <v>8448</v>
          </cell>
          <cell r="H115">
            <v>43</v>
          </cell>
          <cell r="I115">
            <v>117.38</v>
          </cell>
        </row>
        <row r="116">
          <cell r="G116">
            <v>8448</v>
          </cell>
          <cell r="H116">
            <v>43</v>
          </cell>
          <cell r="I116">
            <v>116.88</v>
          </cell>
        </row>
        <row r="117">
          <cell r="G117">
            <v>8448</v>
          </cell>
          <cell r="H117">
            <v>43</v>
          </cell>
          <cell r="I117">
            <v>117.13</v>
          </cell>
        </row>
        <row r="118">
          <cell r="G118">
            <v>8448</v>
          </cell>
          <cell r="H118">
            <v>44</v>
          </cell>
          <cell r="I118">
            <v>116.88</v>
          </cell>
        </row>
        <row r="119">
          <cell r="G119">
            <v>8448</v>
          </cell>
          <cell r="H119">
            <v>44</v>
          </cell>
          <cell r="I119">
            <v>117.13</v>
          </cell>
        </row>
        <row r="120">
          <cell r="G120">
            <v>8448</v>
          </cell>
          <cell r="H120">
            <v>44</v>
          </cell>
          <cell r="I120">
            <v>117.68</v>
          </cell>
        </row>
        <row r="121">
          <cell r="G121">
            <v>8448</v>
          </cell>
          <cell r="H121">
            <v>40</v>
          </cell>
          <cell r="I121">
            <v>102.78</v>
          </cell>
        </row>
        <row r="122">
          <cell r="G122">
            <v>8448</v>
          </cell>
          <cell r="H122">
            <v>39</v>
          </cell>
          <cell r="I122">
            <v>61.3</v>
          </cell>
        </row>
        <row r="123">
          <cell r="G123">
            <v>8448</v>
          </cell>
          <cell r="H123">
            <v>39</v>
          </cell>
          <cell r="I123">
            <v>50.33</v>
          </cell>
        </row>
        <row r="124">
          <cell r="G124">
            <v>8448</v>
          </cell>
          <cell r="H124">
            <v>38</v>
          </cell>
          <cell r="I124">
            <v>47.59</v>
          </cell>
        </row>
        <row r="125">
          <cell r="G125">
            <v>8448</v>
          </cell>
          <cell r="H125">
            <v>38</v>
          </cell>
          <cell r="I125">
            <v>44.88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7ED3-EF4F-476F-89E3-73BCDCE6535A}">
  <dimension ref="A2:I134"/>
  <sheetViews>
    <sheetView tabSelected="1" topLeftCell="A82" zoomScale="40" zoomScaleNormal="40" workbookViewId="0">
      <selection activeCell="H143" sqref="H143"/>
    </sheetView>
  </sheetViews>
  <sheetFormatPr defaultRowHeight="15" x14ac:dyDescent="0.25"/>
  <cols>
    <col min="1" max="1" width="26.5703125" customWidth="1"/>
    <col min="2" max="2" width="20.28515625" customWidth="1"/>
    <col min="3" max="3" width="19.28515625" customWidth="1"/>
    <col min="4" max="4" width="19.42578125" customWidth="1"/>
    <col min="6" max="6" width="25.28515625" customWidth="1"/>
    <col min="7" max="7" width="20.140625" customWidth="1"/>
    <col min="8" max="8" width="18.85546875" customWidth="1"/>
    <col min="9" max="9" width="19.5703125" customWidth="1"/>
  </cols>
  <sheetData>
    <row r="2" spans="1:9" x14ac:dyDescent="0.25">
      <c r="A2" s="5" t="s">
        <v>7</v>
      </c>
    </row>
    <row r="3" spans="1:9" x14ac:dyDescent="0.25">
      <c r="A3" s="5" t="s">
        <v>0</v>
      </c>
      <c r="B3" s="5" t="s">
        <v>1</v>
      </c>
      <c r="C3" s="5" t="s">
        <v>2</v>
      </c>
      <c r="D3" s="6" t="s">
        <v>3</v>
      </c>
      <c r="E3" s="3"/>
      <c r="F3" s="5" t="s">
        <v>0</v>
      </c>
      <c r="G3" s="5" t="s">
        <v>1</v>
      </c>
      <c r="H3" s="5" t="s">
        <v>2</v>
      </c>
      <c r="I3" s="6" t="s">
        <v>3</v>
      </c>
    </row>
    <row r="4" spans="1:9" x14ac:dyDescent="0.25">
      <c r="A4" s="8" t="s">
        <v>5</v>
      </c>
      <c r="B4" s="1">
        <v>4</v>
      </c>
      <c r="C4" s="1">
        <v>31</v>
      </c>
      <c r="D4" s="1">
        <v>0.34</v>
      </c>
      <c r="E4" s="7"/>
      <c r="F4" s="10" t="s">
        <v>4</v>
      </c>
      <c r="G4" s="1">
        <v>1</v>
      </c>
      <c r="H4" s="1">
        <v>33</v>
      </c>
      <c r="I4" s="1">
        <v>43.48</v>
      </c>
    </row>
    <row r="5" spans="1:9" x14ac:dyDescent="0.25">
      <c r="A5" s="8" t="s">
        <v>5</v>
      </c>
      <c r="B5" s="1">
        <v>15</v>
      </c>
      <c r="C5" s="1">
        <v>32</v>
      </c>
      <c r="D5" s="1">
        <v>37.770000000000003</v>
      </c>
      <c r="E5" s="7"/>
      <c r="F5" s="10" t="s">
        <v>4</v>
      </c>
      <c r="G5" s="1">
        <v>4</v>
      </c>
      <c r="H5" s="1">
        <v>33</v>
      </c>
      <c r="I5" s="1">
        <v>44.03</v>
      </c>
    </row>
    <row r="6" spans="1:9" x14ac:dyDescent="0.25">
      <c r="A6" s="8" t="s">
        <v>5</v>
      </c>
      <c r="B6" s="1">
        <v>158</v>
      </c>
      <c r="C6" s="1">
        <v>31</v>
      </c>
      <c r="D6" s="1">
        <v>38.07</v>
      </c>
      <c r="E6" s="7"/>
      <c r="F6" s="10" t="s">
        <v>4</v>
      </c>
      <c r="G6" s="1">
        <v>108</v>
      </c>
      <c r="H6" s="1">
        <v>33</v>
      </c>
      <c r="I6" s="1">
        <v>43.81</v>
      </c>
    </row>
    <row r="7" spans="1:9" x14ac:dyDescent="0.25">
      <c r="A7" s="8" t="s">
        <v>5</v>
      </c>
      <c r="B7" s="1">
        <v>158</v>
      </c>
      <c r="C7" s="1">
        <v>31</v>
      </c>
      <c r="D7" s="1">
        <v>37.71</v>
      </c>
      <c r="E7" s="7"/>
      <c r="F7" s="10" t="s">
        <v>4</v>
      </c>
      <c r="G7" s="1">
        <v>108</v>
      </c>
      <c r="H7" s="1">
        <v>33</v>
      </c>
      <c r="I7" s="1">
        <v>43.71</v>
      </c>
    </row>
    <row r="8" spans="1:9" x14ac:dyDescent="0.25">
      <c r="A8" s="8" t="s">
        <v>5</v>
      </c>
      <c r="B8" s="1">
        <v>158</v>
      </c>
      <c r="C8" s="1">
        <v>32</v>
      </c>
      <c r="D8" s="1">
        <v>37.67</v>
      </c>
      <c r="E8" s="7"/>
      <c r="F8" s="10" t="s">
        <v>4</v>
      </c>
      <c r="G8" s="1">
        <v>108</v>
      </c>
      <c r="H8" s="1">
        <v>33</v>
      </c>
      <c r="I8" s="1">
        <v>43.71</v>
      </c>
    </row>
    <row r="9" spans="1:9" x14ac:dyDescent="0.25">
      <c r="A9" s="8" t="s">
        <v>5</v>
      </c>
      <c r="B9" s="1">
        <v>158</v>
      </c>
      <c r="C9" s="1">
        <v>31</v>
      </c>
      <c r="D9" s="1">
        <v>37.64</v>
      </c>
      <c r="E9" s="7"/>
      <c r="F9" s="10" t="s">
        <v>4</v>
      </c>
      <c r="G9" s="1">
        <v>108</v>
      </c>
      <c r="H9" s="1">
        <v>33</v>
      </c>
      <c r="I9" s="1">
        <v>43.67</v>
      </c>
    </row>
    <row r="10" spans="1:9" x14ac:dyDescent="0.25">
      <c r="A10" s="8" t="s">
        <v>5</v>
      </c>
      <c r="B10" s="1">
        <v>158</v>
      </c>
      <c r="C10" s="1">
        <v>32</v>
      </c>
      <c r="D10" s="1">
        <v>37.729999999999997</v>
      </c>
      <c r="E10" s="7"/>
      <c r="F10" s="10" t="s">
        <v>4</v>
      </c>
      <c r="G10" s="1">
        <v>108</v>
      </c>
      <c r="H10" s="1">
        <v>33</v>
      </c>
      <c r="I10" s="1">
        <v>43.71</v>
      </c>
    </row>
    <row r="11" spans="1:9" x14ac:dyDescent="0.25">
      <c r="A11" s="8" t="s">
        <v>5</v>
      </c>
      <c r="B11" s="1">
        <v>158</v>
      </c>
      <c r="C11" s="1">
        <v>32</v>
      </c>
      <c r="D11" s="1">
        <v>37.72</v>
      </c>
      <c r="E11" s="7"/>
      <c r="F11" s="10" t="s">
        <v>4</v>
      </c>
      <c r="G11" s="1">
        <v>108</v>
      </c>
      <c r="H11" s="1">
        <v>33</v>
      </c>
      <c r="I11" s="1">
        <v>43.71</v>
      </c>
    </row>
    <row r="12" spans="1:9" x14ac:dyDescent="0.25">
      <c r="A12" s="8" t="s">
        <v>5</v>
      </c>
      <c r="B12" s="1">
        <v>158</v>
      </c>
      <c r="C12" s="1">
        <v>32</v>
      </c>
      <c r="D12" s="1">
        <v>37.65</v>
      </c>
      <c r="E12" s="7"/>
      <c r="F12" s="10" t="s">
        <v>4</v>
      </c>
      <c r="G12" s="1">
        <v>108</v>
      </c>
      <c r="H12" s="1">
        <v>33</v>
      </c>
      <c r="I12" s="1">
        <v>43.73</v>
      </c>
    </row>
    <row r="13" spans="1:9" x14ac:dyDescent="0.25">
      <c r="A13" s="8" t="s">
        <v>5</v>
      </c>
      <c r="B13" s="1">
        <v>158</v>
      </c>
      <c r="C13" s="1">
        <v>32</v>
      </c>
      <c r="D13" s="1">
        <v>37.61</v>
      </c>
      <c r="E13" s="7"/>
      <c r="F13" s="10" t="s">
        <v>4</v>
      </c>
      <c r="G13" s="1">
        <v>108</v>
      </c>
      <c r="H13" s="1">
        <v>33</v>
      </c>
      <c r="I13" s="1">
        <v>43.77</v>
      </c>
    </row>
    <row r="14" spans="1:9" x14ac:dyDescent="0.25">
      <c r="A14" s="8" t="s">
        <v>5</v>
      </c>
      <c r="B14" s="1">
        <v>158</v>
      </c>
      <c r="C14" s="1">
        <v>32</v>
      </c>
      <c r="D14" s="1">
        <v>37.61</v>
      </c>
      <c r="E14" s="7"/>
      <c r="F14" s="10" t="s">
        <v>4</v>
      </c>
      <c r="G14" s="1">
        <v>108</v>
      </c>
      <c r="H14" s="1">
        <v>33</v>
      </c>
      <c r="I14" s="1">
        <v>43.78</v>
      </c>
    </row>
    <row r="15" spans="1:9" x14ac:dyDescent="0.25">
      <c r="A15" s="8" t="s">
        <v>5</v>
      </c>
      <c r="B15" s="1">
        <v>158</v>
      </c>
      <c r="C15" s="1">
        <v>32</v>
      </c>
      <c r="D15" s="1">
        <v>37.630000000000003</v>
      </c>
      <c r="E15" s="7"/>
      <c r="F15" s="10" t="s">
        <v>4</v>
      </c>
      <c r="G15" s="1">
        <v>108</v>
      </c>
      <c r="H15" s="1">
        <v>33</v>
      </c>
      <c r="I15" s="1">
        <v>43.77</v>
      </c>
    </row>
    <row r="16" spans="1:9" x14ac:dyDescent="0.25">
      <c r="A16" s="8" t="s">
        <v>5</v>
      </c>
      <c r="B16" s="1">
        <v>158</v>
      </c>
      <c r="C16" s="1">
        <v>32</v>
      </c>
      <c r="D16" s="1">
        <v>37.549999999999997</v>
      </c>
      <c r="E16" s="7"/>
      <c r="F16" s="10" t="s">
        <v>4</v>
      </c>
      <c r="G16" s="1">
        <v>108</v>
      </c>
      <c r="H16" s="1">
        <v>33</v>
      </c>
      <c r="I16" s="1">
        <v>43.71</v>
      </c>
    </row>
    <row r="17" spans="1:9" x14ac:dyDescent="0.25">
      <c r="A17" s="8" t="s">
        <v>5</v>
      </c>
      <c r="B17" s="1">
        <v>5160</v>
      </c>
      <c r="C17" s="1">
        <v>32</v>
      </c>
      <c r="D17" s="1">
        <v>37.99</v>
      </c>
      <c r="E17" s="7"/>
      <c r="F17" s="10" t="s">
        <v>4</v>
      </c>
      <c r="G17" s="1">
        <v>7574</v>
      </c>
      <c r="H17" s="1">
        <v>33</v>
      </c>
      <c r="I17" s="1">
        <v>43.7</v>
      </c>
    </row>
    <row r="18" spans="1:9" x14ac:dyDescent="0.25">
      <c r="A18" s="8" t="s">
        <v>5</v>
      </c>
      <c r="B18" s="1">
        <v>5160</v>
      </c>
      <c r="C18" s="1">
        <v>33</v>
      </c>
      <c r="D18" s="1">
        <v>45.93</v>
      </c>
      <c r="E18" s="7"/>
      <c r="F18" s="10" t="s">
        <v>4</v>
      </c>
      <c r="G18" s="1">
        <v>7574</v>
      </c>
      <c r="H18" s="1">
        <v>34</v>
      </c>
      <c r="I18" s="1">
        <v>43.8</v>
      </c>
    </row>
    <row r="19" spans="1:9" x14ac:dyDescent="0.25">
      <c r="A19" s="8" t="s">
        <v>5</v>
      </c>
      <c r="B19" s="1">
        <v>5160</v>
      </c>
      <c r="C19" s="1">
        <v>33</v>
      </c>
      <c r="D19" s="1">
        <v>48.81</v>
      </c>
      <c r="E19" s="7"/>
      <c r="F19" s="10" t="s">
        <v>4</v>
      </c>
      <c r="G19" s="1">
        <v>7574</v>
      </c>
      <c r="H19" s="1">
        <v>34</v>
      </c>
      <c r="I19" s="1">
        <v>50.9</v>
      </c>
    </row>
    <row r="20" spans="1:9" x14ac:dyDescent="0.25">
      <c r="A20" s="8" t="s">
        <v>5</v>
      </c>
      <c r="B20" s="1">
        <v>5160</v>
      </c>
      <c r="C20" s="1">
        <v>32</v>
      </c>
      <c r="D20" s="1">
        <v>46.84</v>
      </c>
      <c r="E20" s="7"/>
      <c r="F20" s="10" t="s">
        <v>4</v>
      </c>
      <c r="G20" s="1">
        <v>7574</v>
      </c>
      <c r="H20" s="1">
        <v>34</v>
      </c>
      <c r="I20" s="1">
        <v>52.82</v>
      </c>
    </row>
    <row r="21" spans="1:9" x14ac:dyDescent="0.25">
      <c r="A21" s="8" t="s">
        <v>5</v>
      </c>
      <c r="B21" s="1">
        <v>5160</v>
      </c>
      <c r="C21" s="1">
        <v>32</v>
      </c>
      <c r="D21" s="1">
        <v>38.1</v>
      </c>
      <c r="E21" s="7"/>
      <c r="F21" s="10" t="s">
        <v>4</v>
      </c>
      <c r="G21" s="1">
        <v>7574</v>
      </c>
      <c r="H21" s="1">
        <v>34</v>
      </c>
      <c r="I21" s="1">
        <v>45.37</v>
      </c>
    </row>
    <row r="22" spans="1:9" x14ac:dyDescent="0.25">
      <c r="A22" s="8" t="s">
        <v>5</v>
      </c>
      <c r="B22" s="1">
        <v>7032</v>
      </c>
      <c r="C22" s="1">
        <v>33</v>
      </c>
      <c r="D22" s="1">
        <v>41.08</v>
      </c>
      <c r="E22" s="7"/>
      <c r="F22" s="10" t="s">
        <v>4</v>
      </c>
      <c r="G22" s="1">
        <v>8418</v>
      </c>
      <c r="H22" s="1">
        <v>34</v>
      </c>
      <c r="I22" s="1">
        <v>45.56</v>
      </c>
    </row>
    <row r="23" spans="1:9" x14ac:dyDescent="0.25">
      <c r="A23" s="8" t="s">
        <v>5</v>
      </c>
      <c r="B23" s="1">
        <v>7056</v>
      </c>
      <c r="C23" s="1">
        <v>33</v>
      </c>
      <c r="D23" s="1">
        <v>58.42</v>
      </c>
      <c r="E23" s="7"/>
      <c r="F23" s="10" t="s">
        <v>4</v>
      </c>
      <c r="G23" s="1">
        <v>8442</v>
      </c>
      <c r="H23" s="1">
        <v>35</v>
      </c>
      <c r="I23" s="1">
        <v>55.96</v>
      </c>
    </row>
    <row r="24" spans="1:9" x14ac:dyDescent="0.25">
      <c r="A24" s="8" t="s">
        <v>5</v>
      </c>
      <c r="B24" s="1">
        <v>7060</v>
      </c>
      <c r="C24" s="1">
        <v>34</v>
      </c>
      <c r="D24" s="1">
        <v>64.67</v>
      </c>
      <c r="E24" s="7"/>
      <c r="F24" s="10" t="s">
        <v>4</v>
      </c>
      <c r="G24" s="1">
        <v>8446</v>
      </c>
      <c r="H24" s="1">
        <v>35</v>
      </c>
      <c r="I24" s="1">
        <v>68.069999999999993</v>
      </c>
    </row>
    <row r="25" spans="1:9" x14ac:dyDescent="0.25">
      <c r="A25" s="8" t="s">
        <v>5</v>
      </c>
      <c r="B25" s="1">
        <v>7060</v>
      </c>
      <c r="C25" s="1">
        <v>34</v>
      </c>
      <c r="D25" s="1">
        <v>64.67</v>
      </c>
      <c r="E25" s="7"/>
      <c r="F25" s="10" t="s">
        <v>4</v>
      </c>
      <c r="G25" s="1">
        <v>8446</v>
      </c>
      <c r="H25" s="1">
        <v>39</v>
      </c>
      <c r="I25" s="1">
        <v>82.19</v>
      </c>
    </row>
    <row r="26" spans="1:9" x14ac:dyDescent="0.25">
      <c r="A26" s="8" t="s">
        <v>5</v>
      </c>
      <c r="B26" s="1">
        <v>7060</v>
      </c>
      <c r="C26" s="1">
        <v>35</v>
      </c>
      <c r="D26" s="1">
        <v>72.11</v>
      </c>
      <c r="E26" s="7"/>
      <c r="F26" s="10" t="s">
        <v>4</v>
      </c>
      <c r="G26" s="1">
        <v>8446</v>
      </c>
      <c r="H26" s="1">
        <v>39</v>
      </c>
      <c r="I26" s="1">
        <v>114</v>
      </c>
    </row>
    <row r="27" spans="1:9" x14ac:dyDescent="0.25">
      <c r="A27" s="8" t="s">
        <v>5</v>
      </c>
      <c r="B27" s="1">
        <v>7060</v>
      </c>
      <c r="C27" s="1">
        <v>34</v>
      </c>
      <c r="D27" s="1">
        <v>59.39</v>
      </c>
      <c r="E27" s="7"/>
      <c r="F27" s="10" t="s">
        <v>4</v>
      </c>
      <c r="G27" s="1">
        <v>8446</v>
      </c>
      <c r="H27" s="1">
        <v>40</v>
      </c>
      <c r="I27" s="1">
        <v>112.84</v>
      </c>
    </row>
    <row r="28" spans="1:9" x14ac:dyDescent="0.25">
      <c r="A28" s="8" t="s">
        <v>5</v>
      </c>
      <c r="B28" s="1">
        <v>7060</v>
      </c>
      <c r="C28" s="1">
        <v>34</v>
      </c>
      <c r="D28" s="1">
        <v>54.95</v>
      </c>
      <c r="E28" s="7"/>
      <c r="F28" s="10" t="s">
        <v>4</v>
      </c>
      <c r="G28" s="1">
        <v>8446</v>
      </c>
      <c r="H28" s="1">
        <v>40</v>
      </c>
      <c r="I28" s="1">
        <v>114.07</v>
      </c>
    </row>
    <row r="29" spans="1:9" x14ac:dyDescent="0.25">
      <c r="A29" s="8" t="s">
        <v>5</v>
      </c>
      <c r="B29" s="1">
        <v>7060</v>
      </c>
      <c r="C29" s="1">
        <v>34</v>
      </c>
      <c r="D29" s="1">
        <v>54.94</v>
      </c>
      <c r="E29" s="7"/>
      <c r="F29" s="10" t="s">
        <v>4</v>
      </c>
      <c r="G29" s="1">
        <v>8446</v>
      </c>
      <c r="H29" s="1">
        <v>40</v>
      </c>
      <c r="I29" s="1">
        <v>114.03</v>
      </c>
    </row>
    <row r="30" spans="1:9" x14ac:dyDescent="0.25">
      <c r="A30" s="8" t="s">
        <v>5</v>
      </c>
      <c r="B30" s="1">
        <v>7060</v>
      </c>
      <c r="C30" s="1">
        <v>34</v>
      </c>
      <c r="D30" s="1">
        <v>54.81</v>
      </c>
      <c r="E30" s="7"/>
      <c r="F30" s="10" t="s">
        <v>4</v>
      </c>
      <c r="G30" s="1">
        <v>8446</v>
      </c>
      <c r="H30" s="1">
        <v>41</v>
      </c>
      <c r="I30" s="1">
        <v>113.87</v>
      </c>
    </row>
    <row r="31" spans="1:9" x14ac:dyDescent="0.25">
      <c r="A31" s="8" t="s">
        <v>5</v>
      </c>
      <c r="B31" s="1">
        <v>7060</v>
      </c>
      <c r="C31" s="1">
        <v>34</v>
      </c>
      <c r="D31" s="1">
        <v>55.22</v>
      </c>
      <c r="E31" s="7"/>
      <c r="F31" s="10" t="s">
        <v>4</v>
      </c>
      <c r="G31" s="1">
        <v>8446</v>
      </c>
      <c r="H31" s="1">
        <v>41</v>
      </c>
      <c r="I31" s="1">
        <v>113.96</v>
      </c>
    </row>
    <row r="32" spans="1:9" x14ac:dyDescent="0.25">
      <c r="A32" s="8" t="s">
        <v>5</v>
      </c>
      <c r="B32" s="1">
        <v>7060</v>
      </c>
      <c r="C32" s="1">
        <v>34</v>
      </c>
      <c r="D32" s="1">
        <v>55.1</v>
      </c>
      <c r="E32" s="7"/>
      <c r="F32" s="10" t="s">
        <v>4</v>
      </c>
      <c r="G32" s="1">
        <v>8446</v>
      </c>
      <c r="H32" s="1">
        <v>41</v>
      </c>
      <c r="I32" s="1">
        <v>114.22</v>
      </c>
    </row>
    <row r="33" spans="1:9" x14ac:dyDescent="0.25">
      <c r="A33" s="8" t="s">
        <v>5</v>
      </c>
      <c r="B33" s="1">
        <v>7060</v>
      </c>
      <c r="C33" s="1">
        <v>34</v>
      </c>
      <c r="D33" s="1">
        <v>55.08</v>
      </c>
      <c r="E33" s="7"/>
      <c r="F33" s="10" t="s">
        <v>4</v>
      </c>
      <c r="G33" s="1">
        <v>8446</v>
      </c>
      <c r="H33" s="1">
        <v>42</v>
      </c>
      <c r="I33" s="1">
        <v>114.5</v>
      </c>
    </row>
    <row r="34" spans="1:9" x14ac:dyDescent="0.25">
      <c r="A34" s="8" t="s">
        <v>5</v>
      </c>
      <c r="B34" s="1">
        <v>7060</v>
      </c>
      <c r="C34" s="1">
        <v>34</v>
      </c>
      <c r="D34" s="1">
        <v>55.04</v>
      </c>
      <c r="E34" s="7"/>
      <c r="F34" s="10" t="s">
        <v>4</v>
      </c>
      <c r="G34" s="1">
        <v>8446</v>
      </c>
      <c r="H34" s="1">
        <v>42</v>
      </c>
      <c r="I34" s="1">
        <v>114.55</v>
      </c>
    </row>
    <row r="35" spans="1:9" x14ac:dyDescent="0.25">
      <c r="A35" s="8" t="s">
        <v>5</v>
      </c>
      <c r="B35" s="1">
        <v>7060</v>
      </c>
      <c r="C35" s="1">
        <v>34</v>
      </c>
      <c r="D35" s="1">
        <v>55.03</v>
      </c>
      <c r="E35" s="7"/>
      <c r="F35" s="10" t="s">
        <v>4</v>
      </c>
      <c r="G35" s="1">
        <v>8446</v>
      </c>
      <c r="H35" s="1">
        <v>42</v>
      </c>
      <c r="I35" s="1">
        <v>114.67</v>
      </c>
    </row>
    <row r="36" spans="1:9" x14ac:dyDescent="0.25">
      <c r="A36" s="8" t="s">
        <v>5</v>
      </c>
      <c r="B36" s="1">
        <v>7060</v>
      </c>
      <c r="C36" s="1">
        <v>34</v>
      </c>
      <c r="D36" s="1">
        <v>55.12</v>
      </c>
      <c r="E36" s="7"/>
      <c r="F36" s="10" t="s">
        <v>4</v>
      </c>
      <c r="G36" s="1">
        <v>8446</v>
      </c>
      <c r="H36" s="1">
        <v>42</v>
      </c>
      <c r="I36" s="1">
        <v>114.51</v>
      </c>
    </row>
    <row r="37" spans="1:9" x14ac:dyDescent="0.25">
      <c r="A37" s="8" t="s">
        <v>5</v>
      </c>
      <c r="B37" s="1">
        <v>7060</v>
      </c>
      <c r="C37" s="1">
        <v>34</v>
      </c>
      <c r="D37" s="1">
        <v>55.13</v>
      </c>
      <c r="E37" s="7"/>
      <c r="F37" s="10" t="s">
        <v>4</v>
      </c>
      <c r="G37" s="1">
        <v>8446</v>
      </c>
      <c r="H37" s="1">
        <v>43</v>
      </c>
      <c r="I37" s="1">
        <v>114.96</v>
      </c>
    </row>
    <row r="38" spans="1:9" x14ac:dyDescent="0.25">
      <c r="A38" s="8" t="s">
        <v>5</v>
      </c>
      <c r="B38" s="1">
        <v>7060</v>
      </c>
      <c r="C38" s="1">
        <v>33</v>
      </c>
      <c r="D38" s="1">
        <v>45.34</v>
      </c>
      <c r="E38" s="7"/>
      <c r="F38" s="10" t="s">
        <v>4</v>
      </c>
      <c r="G38" s="1">
        <v>8446</v>
      </c>
      <c r="H38" s="1">
        <v>38</v>
      </c>
      <c r="I38" s="1">
        <v>77.25</v>
      </c>
    </row>
    <row r="39" spans="1:9" x14ac:dyDescent="0.25">
      <c r="A39" s="8" t="s">
        <v>5</v>
      </c>
      <c r="B39" s="1">
        <v>7060</v>
      </c>
      <c r="C39" s="1">
        <v>33</v>
      </c>
      <c r="D39" s="1">
        <v>38.06</v>
      </c>
      <c r="E39" s="7"/>
      <c r="F39" s="10" t="s">
        <v>4</v>
      </c>
      <c r="G39" s="1">
        <v>8446</v>
      </c>
      <c r="H39" s="1">
        <v>37</v>
      </c>
      <c r="I39" s="1">
        <v>52.36</v>
      </c>
    </row>
    <row r="40" spans="1:9" x14ac:dyDescent="0.25">
      <c r="A40" s="8" t="s">
        <v>5</v>
      </c>
      <c r="B40" s="1">
        <v>7060</v>
      </c>
      <c r="C40" s="1">
        <v>33</v>
      </c>
      <c r="D40" s="1">
        <v>38.119999999999997</v>
      </c>
      <c r="E40" s="7"/>
      <c r="F40" s="10" t="s">
        <v>4</v>
      </c>
      <c r="G40" s="1">
        <v>8446</v>
      </c>
      <c r="H40" s="1">
        <v>37</v>
      </c>
      <c r="I40" s="1">
        <v>45.3</v>
      </c>
    </row>
    <row r="41" spans="1:9" x14ac:dyDescent="0.25">
      <c r="A41" s="8" t="s">
        <v>5</v>
      </c>
      <c r="B41" s="1">
        <v>7060</v>
      </c>
      <c r="C41" s="1">
        <v>33</v>
      </c>
      <c r="D41" s="1">
        <v>38.01</v>
      </c>
      <c r="E41" s="7"/>
      <c r="F41" s="10" t="s">
        <v>4</v>
      </c>
      <c r="G41" s="1">
        <v>8446</v>
      </c>
      <c r="H41" s="1">
        <v>37</v>
      </c>
      <c r="I41" s="1">
        <v>44.24</v>
      </c>
    </row>
    <row r="42" spans="1:9" x14ac:dyDescent="0.25">
      <c r="A42" s="8" t="s">
        <v>5</v>
      </c>
      <c r="B42" s="1">
        <v>7060</v>
      </c>
      <c r="C42" s="1">
        <v>33</v>
      </c>
      <c r="D42" s="1">
        <v>38.01</v>
      </c>
      <c r="E42" s="7"/>
      <c r="F42" s="10" t="s">
        <v>4</v>
      </c>
      <c r="G42" s="1">
        <v>8446</v>
      </c>
      <c r="H42" s="1">
        <v>37</v>
      </c>
      <c r="I42" s="1">
        <v>44.21</v>
      </c>
    </row>
    <row r="43" spans="1:9" x14ac:dyDescent="0.25">
      <c r="A43" s="8" t="s">
        <v>5</v>
      </c>
      <c r="B43" s="1">
        <v>7060</v>
      </c>
      <c r="C43" s="1">
        <v>33</v>
      </c>
      <c r="D43" s="1">
        <v>38</v>
      </c>
      <c r="E43" s="7"/>
      <c r="F43" s="10" t="s">
        <v>4</v>
      </c>
      <c r="G43" s="1">
        <v>8446</v>
      </c>
      <c r="H43" s="1">
        <v>37</v>
      </c>
      <c r="I43" s="1">
        <v>44.23</v>
      </c>
    </row>
    <row r="44" spans="1:9" x14ac:dyDescent="0.25">
      <c r="A44" s="8" t="s">
        <v>5</v>
      </c>
      <c r="B44" s="1">
        <v>7060</v>
      </c>
      <c r="C44" s="1">
        <v>33</v>
      </c>
      <c r="D44" s="1">
        <v>37.96</v>
      </c>
      <c r="E44" s="7"/>
      <c r="F44" s="10" t="s">
        <v>4</v>
      </c>
      <c r="G44" s="1">
        <v>8446</v>
      </c>
      <c r="H44" s="1">
        <v>37</v>
      </c>
      <c r="I44" s="1">
        <v>44.29</v>
      </c>
    </row>
    <row r="45" spans="1:9" x14ac:dyDescent="0.25">
      <c r="A45" s="8" t="s">
        <v>5</v>
      </c>
      <c r="B45" s="1">
        <v>7060</v>
      </c>
      <c r="C45" s="1">
        <v>33</v>
      </c>
      <c r="D45" s="1">
        <v>37.9</v>
      </c>
      <c r="E45" s="7"/>
      <c r="F45" s="10" t="s">
        <v>4</v>
      </c>
      <c r="G45" s="1">
        <v>8446</v>
      </c>
      <c r="H45" s="1">
        <v>37</v>
      </c>
      <c r="I45" s="1">
        <v>44.28</v>
      </c>
    </row>
    <row r="46" spans="1:9" x14ac:dyDescent="0.25">
      <c r="A46" s="8" t="s">
        <v>5</v>
      </c>
      <c r="B46" s="1">
        <v>7060</v>
      </c>
      <c r="C46" s="1">
        <v>33</v>
      </c>
      <c r="D46" s="1">
        <v>38.01</v>
      </c>
      <c r="E46" s="7"/>
      <c r="F46" s="10" t="s">
        <v>4</v>
      </c>
      <c r="G46" s="1">
        <v>8446</v>
      </c>
      <c r="H46" s="1">
        <v>37</v>
      </c>
      <c r="I46" s="1">
        <v>44.26</v>
      </c>
    </row>
    <row r="47" spans="1:9" x14ac:dyDescent="0.25">
      <c r="A47" s="8" t="s">
        <v>5</v>
      </c>
      <c r="B47" s="1">
        <v>7060</v>
      </c>
      <c r="C47" s="1">
        <v>33</v>
      </c>
      <c r="D47" s="1">
        <v>37.93</v>
      </c>
      <c r="E47" s="7"/>
      <c r="F47" s="10" t="s">
        <v>4</v>
      </c>
      <c r="G47" s="1">
        <v>8446</v>
      </c>
      <c r="H47" s="1">
        <v>37</v>
      </c>
      <c r="I47" s="1">
        <v>44.29</v>
      </c>
    </row>
    <row r="48" spans="1:9" x14ac:dyDescent="0.25">
      <c r="A48" s="8" t="s">
        <v>5</v>
      </c>
      <c r="B48" s="1">
        <v>7060</v>
      </c>
      <c r="C48" s="1">
        <v>33</v>
      </c>
      <c r="D48" s="1">
        <v>37.880000000000003</v>
      </c>
      <c r="E48" s="4"/>
      <c r="F48" s="11" t="s">
        <v>4</v>
      </c>
      <c r="G48" s="1">
        <v>8446</v>
      </c>
      <c r="H48" s="1">
        <v>37</v>
      </c>
      <c r="I48" s="1">
        <v>44.21</v>
      </c>
    </row>
    <row r="49" spans="1:9" x14ac:dyDescent="0.25">
      <c r="A49" s="9" t="s">
        <v>6</v>
      </c>
      <c r="B49" s="1">
        <f>AVERAGE(B4:B48)</f>
        <v>4847.666666666667</v>
      </c>
      <c r="C49" s="1">
        <f>AVERAGE(C4:C48)</f>
        <v>32.888888888888886</v>
      </c>
      <c r="D49" s="1">
        <f>AVERAGE(D4:D48)</f>
        <v>44.585555555555551</v>
      </c>
      <c r="E49" s="4"/>
      <c r="F49" s="12" t="s">
        <v>6</v>
      </c>
      <c r="G49" s="1">
        <f>AVERAGE(G4:G48)</f>
        <v>5934.9555555555553</v>
      </c>
      <c r="H49" s="1">
        <f>AVERAGE(H4:H48)</f>
        <v>36.488888888888887</v>
      </c>
      <c r="I49" s="1">
        <f>AVERAGE(I4:I48)</f>
        <v>65.690222222222246</v>
      </c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5">
      <c r="A51" s="5" t="s">
        <v>8</v>
      </c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5" t="s">
        <v>0</v>
      </c>
      <c r="B52" s="5" t="s">
        <v>1</v>
      </c>
      <c r="C52" s="5" t="s">
        <v>2</v>
      </c>
      <c r="D52" s="6" t="s">
        <v>3</v>
      </c>
      <c r="E52" s="3"/>
      <c r="F52" s="5" t="s">
        <v>0</v>
      </c>
      <c r="G52" s="5" t="s">
        <v>1</v>
      </c>
      <c r="H52" s="5" t="s">
        <v>2</v>
      </c>
      <c r="I52" s="6" t="s">
        <v>3</v>
      </c>
    </row>
    <row r="53" spans="1:9" x14ac:dyDescent="0.25">
      <c r="A53" s="8" t="s">
        <v>5</v>
      </c>
      <c r="B53" s="1">
        <v>7060</v>
      </c>
      <c r="C53" s="1">
        <v>23</v>
      </c>
      <c r="D53" s="2">
        <v>5.91</v>
      </c>
      <c r="E53" s="3"/>
      <c r="F53" s="10" t="s">
        <v>4</v>
      </c>
      <c r="G53" s="1">
        <v>8446</v>
      </c>
      <c r="H53" s="1">
        <v>29</v>
      </c>
      <c r="I53" s="1">
        <v>14.75</v>
      </c>
    </row>
    <row r="54" spans="1:9" x14ac:dyDescent="0.25">
      <c r="A54" s="8" t="s">
        <v>5</v>
      </c>
      <c r="B54" s="1">
        <v>7060</v>
      </c>
      <c r="C54" s="1">
        <v>24</v>
      </c>
      <c r="D54" s="2">
        <v>5.94</v>
      </c>
      <c r="E54" s="3"/>
      <c r="F54" s="10" t="s">
        <v>4</v>
      </c>
      <c r="G54" s="1">
        <v>8446</v>
      </c>
      <c r="H54" s="1">
        <v>28</v>
      </c>
      <c r="I54" s="1">
        <v>14.74</v>
      </c>
    </row>
    <row r="55" spans="1:9" x14ac:dyDescent="0.25">
      <c r="A55" s="8" t="s">
        <v>5</v>
      </c>
      <c r="B55" s="1">
        <v>7060</v>
      </c>
      <c r="C55" s="1">
        <v>26</v>
      </c>
      <c r="D55" s="2">
        <v>22.29</v>
      </c>
      <c r="E55" s="3"/>
      <c r="F55" s="10" t="s">
        <v>4</v>
      </c>
      <c r="G55" s="1">
        <v>8446</v>
      </c>
      <c r="H55" s="1">
        <v>31</v>
      </c>
      <c r="I55" s="1">
        <v>38.01</v>
      </c>
    </row>
    <row r="56" spans="1:9" x14ac:dyDescent="0.25">
      <c r="A56" s="8" t="s">
        <v>5</v>
      </c>
      <c r="B56" s="1">
        <v>7060</v>
      </c>
      <c r="C56" s="1">
        <v>28</v>
      </c>
      <c r="D56" s="2">
        <v>64.98</v>
      </c>
      <c r="E56" s="3"/>
      <c r="F56" s="10" t="s">
        <v>4</v>
      </c>
      <c r="G56" s="1">
        <v>8446</v>
      </c>
      <c r="H56" s="1">
        <v>35</v>
      </c>
      <c r="I56" s="1">
        <v>79.459999999999994</v>
      </c>
    </row>
    <row r="57" spans="1:9" x14ac:dyDescent="0.25">
      <c r="A57" s="8" t="s">
        <v>5</v>
      </c>
      <c r="B57" s="1">
        <v>7060</v>
      </c>
      <c r="C57" s="1">
        <v>28</v>
      </c>
      <c r="D57" s="2">
        <v>71.5</v>
      </c>
      <c r="E57" s="3"/>
      <c r="F57" s="10" t="s">
        <v>4</v>
      </c>
      <c r="G57" s="1">
        <v>8446</v>
      </c>
      <c r="H57" s="1">
        <v>36</v>
      </c>
      <c r="I57" s="1">
        <v>116.38</v>
      </c>
    </row>
    <row r="58" spans="1:9" x14ac:dyDescent="0.25">
      <c r="A58" s="8" t="s">
        <v>5</v>
      </c>
      <c r="B58" s="1">
        <v>7060</v>
      </c>
      <c r="C58" s="1">
        <v>27</v>
      </c>
      <c r="D58" s="2">
        <v>57.28</v>
      </c>
      <c r="E58" s="3"/>
      <c r="F58" s="10" t="s">
        <v>4</v>
      </c>
      <c r="G58" s="1">
        <v>8446</v>
      </c>
      <c r="H58" s="1">
        <v>36</v>
      </c>
      <c r="I58" s="1">
        <v>115.61</v>
      </c>
    </row>
    <row r="59" spans="1:9" x14ac:dyDescent="0.25">
      <c r="A59" s="8" t="s">
        <v>5</v>
      </c>
      <c r="B59" s="1">
        <v>7060</v>
      </c>
      <c r="C59" s="1">
        <v>28</v>
      </c>
      <c r="D59" s="2">
        <v>54.04</v>
      </c>
      <c r="E59" s="3"/>
      <c r="F59" s="10" t="s">
        <v>4</v>
      </c>
      <c r="G59" s="1">
        <v>8446</v>
      </c>
      <c r="H59" s="1">
        <v>37</v>
      </c>
      <c r="I59" s="1">
        <v>115.96</v>
      </c>
    </row>
    <row r="60" spans="1:9" x14ac:dyDescent="0.25">
      <c r="A60" s="8" t="s">
        <v>5</v>
      </c>
      <c r="B60" s="1">
        <v>7060</v>
      </c>
      <c r="C60" s="1">
        <v>28</v>
      </c>
      <c r="D60" s="2">
        <v>54.23</v>
      </c>
      <c r="E60" s="3"/>
      <c r="F60" s="10" t="s">
        <v>4</v>
      </c>
      <c r="G60" s="1">
        <v>8446</v>
      </c>
      <c r="H60" s="1">
        <v>37</v>
      </c>
      <c r="I60" s="1">
        <v>116.26</v>
      </c>
    </row>
    <row r="61" spans="1:9" x14ac:dyDescent="0.25">
      <c r="A61" s="8" t="s">
        <v>5</v>
      </c>
      <c r="B61" s="1">
        <v>7060</v>
      </c>
      <c r="C61" s="1">
        <v>28</v>
      </c>
      <c r="D61" s="2">
        <v>54.32</v>
      </c>
      <c r="E61" s="3"/>
      <c r="F61" s="10" t="s">
        <v>4</v>
      </c>
      <c r="G61" s="1">
        <v>8446</v>
      </c>
      <c r="H61" s="1">
        <v>37</v>
      </c>
      <c r="I61" s="1">
        <v>116.39</v>
      </c>
    </row>
    <row r="62" spans="1:9" x14ac:dyDescent="0.25">
      <c r="A62" s="8" t="s">
        <v>5</v>
      </c>
      <c r="B62" s="1">
        <v>7060</v>
      </c>
      <c r="C62" s="1">
        <v>28</v>
      </c>
      <c r="D62" s="2">
        <v>54.05</v>
      </c>
      <c r="E62" s="3"/>
      <c r="F62" s="10" t="s">
        <v>4</v>
      </c>
      <c r="G62" s="1">
        <v>8446</v>
      </c>
      <c r="H62" s="1">
        <v>38</v>
      </c>
      <c r="I62" s="1">
        <v>115.83</v>
      </c>
    </row>
    <row r="63" spans="1:9" x14ac:dyDescent="0.25">
      <c r="A63" s="8" t="s">
        <v>5</v>
      </c>
      <c r="B63" s="1">
        <v>7060</v>
      </c>
      <c r="C63" s="1">
        <v>28</v>
      </c>
      <c r="D63" s="2">
        <v>54.03</v>
      </c>
      <c r="E63" s="3"/>
      <c r="F63" s="10" t="s">
        <v>4</v>
      </c>
      <c r="G63" s="1">
        <v>8446</v>
      </c>
      <c r="H63" s="1">
        <v>38</v>
      </c>
      <c r="I63" s="1">
        <v>116.5</v>
      </c>
    </row>
    <row r="64" spans="1:9" x14ac:dyDescent="0.25">
      <c r="A64" s="8" t="s">
        <v>5</v>
      </c>
      <c r="B64" s="1">
        <v>7060</v>
      </c>
      <c r="C64" s="1">
        <v>28</v>
      </c>
      <c r="D64" s="2">
        <v>54.2</v>
      </c>
      <c r="E64" s="3"/>
      <c r="F64" s="10" t="s">
        <v>4</v>
      </c>
      <c r="G64" s="1">
        <v>8446</v>
      </c>
      <c r="H64" s="1">
        <v>38</v>
      </c>
      <c r="I64" s="1">
        <v>116.52</v>
      </c>
    </row>
    <row r="65" spans="1:9" x14ac:dyDescent="0.25">
      <c r="A65" s="8" t="s">
        <v>5</v>
      </c>
      <c r="B65" s="1">
        <v>7060</v>
      </c>
      <c r="C65" s="1">
        <v>28</v>
      </c>
      <c r="D65" s="2">
        <v>54.06</v>
      </c>
      <c r="E65" s="3"/>
      <c r="F65" s="10" t="s">
        <v>4</v>
      </c>
      <c r="G65" s="1">
        <v>8446</v>
      </c>
      <c r="H65" s="1">
        <v>38</v>
      </c>
      <c r="I65" s="1">
        <v>116.37</v>
      </c>
    </row>
    <row r="66" spans="1:9" x14ac:dyDescent="0.25">
      <c r="A66" s="8" t="s">
        <v>5</v>
      </c>
      <c r="B66" s="1">
        <v>7060</v>
      </c>
      <c r="C66" s="1">
        <v>28</v>
      </c>
      <c r="D66" s="2">
        <v>45.73</v>
      </c>
      <c r="E66" s="3"/>
      <c r="F66" s="10" t="s">
        <v>4</v>
      </c>
      <c r="G66" s="1">
        <v>8446</v>
      </c>
      <c r="H66" s="1">
        <v>34</v>
      </c>
      <c r="I66" s="1">
        <v>89.7</v>
      </c>
    </row>
    <row r="67" spans="1:9" x14ac:dyDescent="0.25">
      <c r="A67" s="8" t="s">
        <v>5</v>
      </c>
      <c r="B67" s="1">
        <v>7060</v>
      </c>
      <c r="C67" s="1">
        <v>28</v>
      </c>
      <c r="D67" s="2">
        <v>39.549999999999997</v>
      </c>
      <c r="E67" s="3"/>
      <c r="F67" s="10" t="s">
        <v>4</v>
      </c>
      <c r="G67" s="1">
        <v>8446</v>
      </c>
      <c r="H67" s="1">
        <v>34</v>
      </c>
      <c r="I67" s="1">
        <v>61.24</v>
      </c>
    </row>
    <row r="68" spans="1:9" x14ac:dyDescent="0.25">
      <c r="A68" s="8" t="s">
        <v>5</v>
      </c>
      <c r="B68" s="1">
        <v>7060</v>
      </c>
      <c r="C68" s="1">
        <v>28</v>
      </c>
      <c r="D68" s="2">
        <v>36.57</v>
      </c>
      <c r="E68" s="3"/>
      <c r="F68" s="10" t="s">
        <v>4</v>
      </c>
      <c r="G68" s="1">
        <v>8446</v>
      </c>
      <c r="H68" s="1">
        <v>33</v>
      </c>
      <c r="I68" s="1">
        <v>50.45</v>
      </c>
    </row>
    <row r="69" spans="1:9" x14ac:dyDescent="0.25">
      <c r="A69" s="9" t="s">
        <v>6</v>
      </c>
      <c r="B69" s="1">
        <f>AVERAGE(B53:B68)</f>
        <v>7060</v>
      </c>
      <c r="C69" s="1">
        <f>AVERAGE(C53:C68)</f>
        <v>27.25</v>
      </c>
      <c r="D69" s="1">
        <f>AVERAGE(D53:D68)</f>
        <v>45.542500000000011</v>
      </c>
      <c r="E69" s="4"/>
      <c r="F69" s="12" t="s">
        <v>6</v>
      </c>
      <c r="G69" s="1">
        <f>AVERAGE(G53:G68)</f>
        <v>8446</v>
      </c>
      <c r="H69" s="1">
        <f>AVERAGE(H53:H68)</f>
        <v>34.9375</v>
      </c>
      <c r="I69" s="1">
        <f>AVERAGE(I53:I68)</f>
        <v>87.135625000000019</v>
      </c>
    </row>
    <row r="70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102" spans="1:9" x14ac:dyDescent="0.25">
      <c r="A102" s="5" t="s">
        <v>9</v>
      </c>
      <c r="B102" s="4"/>
      <c r="C102" s="4"/>
      <c r="D102" s="4"/>
      <c r="E102" s="4"/>
      <c r="F102" s="4"/>
      <c r="G102" s="4"/>
      <c r="H102" s="4"/>
      <c r="I102" s="4"/>
    </row>
    <row r="103" spans="1:9" x14ac:dyDescent="0.25">
      <c r="A103" s="5" t="s">
        <v>0</v>
      </c>
      <c r="B103" s="5" t="s">
        <v>1</v>
      </c>
      <c r="C103" s="5" t="s">
        <v>2</v>
      </c>
      <c r="D103" s="6" t="s">
        <v>3</v>
      </c>
      <c r="E103" s="3"/>
      <c r="F103" s="5" t="s">
        <v>0</v>
      </c>
      <c r="G103" s="5" t="s">
        <v>1</v>
      </c>
      <c r="H103" s="5" t="s">
        <v>2</v>
      </c>
      <c r="I103" s="6" t="s">
        <v>3</v>
      </c>
    </row>
    <row r="104" spans="1:9" x14ac:dyDescent="0.25">
      <c r="A104" s="8" t="s">
        <v>5</v>
      </c>
      <c r="B104" s="1">
        <v>7060</v>
      </c>
      <c r="C104" s="1">
        <v>29</v>
      </c>
      <c r="D104" s="2">
        <v>21.79</v>
      </c>
      <c r="E104" s="3"/>
      <c r="F104" s="10" t="s">
        <v>4</v>
      </c>
      <c r="G104" s="1">
        <v>8446</v>
      </c>
      <c r="H104" s="1">
        <v>34</v>
      </c>
      <c r="I104" s="1">
        <v>32.65</v>
      </c>
    </row>
    <row r="105" spans="1:9" x14ac:dyDescent="0.25">
      <c r="A105" s="8" t="s">
        <v>5</v>
      </c>
      <c r="B105" s="1">
        <v>7060</v>
      </c>
      <c r="C105" s="1">
        <v>30</v>
      </c>
      <c r="D105" s="2">
        <v>66.650000000000006</v>
      </c>
      <c r="E105" s="3"/>
      <c r="F105" s="10" t="s">
        <v>4</v>
      </c>
      <c r="G105" s="1">
        <v>8446</v>
      </c>
      <c r="H105" s="1">
        <v>38</v>
      </c>
      <c r="I105" s="1">
        <v>95.69</v>
      </c>
    </row>
    <row r="106" spans="1:9" x14ac:dyDescent="0.25">
      <c r="A106" s="8" t="s">
        <v>5</v>
      </c>
      <c r="B106" s="1">
        <v>7060</v>
      </c>
      <c r="C106" s="1">
        <v>31</v>
      </c>
      <c r="D106" s="2">
        <v>71.89</v>
      </c>
      <c r="E106" s="3"/>
      <c r="F106" s="10" t="s">
        <v>4</v>
      </c>
      <c r="G106" s="1">
        <v>8446</v>
      </c>
      <c r="H106" s="1">
        <v>39</v>
      </c>
      <c r="I106" s="1">
        <v>117.15</v>
      </c>
    </row>
    <row r="107" spans="1:9" x14ac:dyDescent="0.25">
      <c r="A107" s="8" t="s">
        <v>5</v>
      </c>
      <c r="B107" s="1">
        <v>7060</v>
      </c>
      <c r="C107" s="1">
        <v>30</v>
      </c>
      <c r="D107" s="2">
        <v>57.6</v>
      </c>
      <c r="E107" s="3"/>
      <c r="F107" s="10" t="s">
        <v>4</v>
      </c>
      <c r="G107" s="1">
        <v>8446</v>
      </c>
      <c r="H107" s="1">
        <v>39</v>
      </c>
      <c r="I107" s="1">
        <v>116.37</v>
      </c>
    </row>
    <row r="108" spans="1:9" x14ac:dyDescent="0.25">
      <c r="A108" s="8" t="s">
        <v>5</v>
      </c>
      <c r="B108" s="1">
        <v>7060</v>
      </c>
      <c r="C108" s="1">
        <v>30</v>
      </c>
      <c r="D108" s="2">
        <v>54.48</v>
      </c>
      <c r="E108" s="3"/>
      <c r="F108" s="10" t="s">
        <v>4</v>
      </c>
      <c r="G108" s="1">
        <v>8446</v>
      </c>
      <c r="H108" s="1">
        <v>40</v>
      </c>
      <c r="I108" s="1">
        <v>116.85</v>
      </c>
    </row>
    <row r="109" spans="1:9" x14ac:dyDescent="0.25">
      <c r="A109" s="8" t="s">
        <v>5</v>
      </c>
      <c r="B109" s="1">
        <v>7060</v>
      </c>
      <c r="C109" s="1">
        <v>30</v>
      </c>
      <c r="D109" s="2">
        <v>54.31</v>
      </c>
      <c r="E109" s="3"/>
      <c r="F109" s="10" t="s">
        <v>4</v>
      </c>
      <c r="G109" s="1">
        <v>8446</v>
      </c>
      <c r="H109" s="1">
        <v>40</v>
      </c>
      <c r="I109" s="1">
        <v>116.18</v>
      </c>
    </row>
    <row r="110" spans="1:9" x14ac:dyDescent="0.25">
      <c r="A110" s="8" t="s">
        <v>5</v>
      </c>
      <c r="B110" s="1">
        <v>7060</v>
      </c>
      <c r="C110" s="1">
        <v>30</v>
      </c>
      <c r="D110" s="2">
        <v>54.23</v>
      </c>
      <c r="E110" s="3"/>
      <c r="F110" s="10" t="s">
        <v>4</v>
      </c>
      <c r="G110" s="1">
        <v>8446</v>
      </c>
      <c r="H110" s="1">
        <v>40</v>
      </c>
      <c r="I110" s="1">
        <v>116.71</v>
      </c>
    </row>
    <row r="111" spans="1:9" x14ac:dyDescent="0.25">
      <c r="A111" s="8" t="s">
        <v>5</v>
      </c>
      <c r="B111" s="1">
        <v>7060</v>
      </c>
      <c r="C111" s="1">
        <v>30</v>
      </c>
      <c r="D111" s="2">
        <v>54.32</v>
      </c>
      <c r="E111" s="3"/>
      <c r="F111" s="10" t="s">
        <v>4</v>
      </c>
      <c r="G111" s="1">
        <v>8446</v>
      </c>
      <c r="H111" s="1">
        <v>40</v>
      </c>
      <c r="I111" s="1">
        <v>116.5</v>
      </c>
    </row>
    <row r="112" spans="1:9" x14ac:dyDescent="0.25">
      <c r="A112" s="8" t="s">
        <v>5</v>
      </c>
      <c r="B112" s="1">
        <v>7060</v>
      </c>
      <c r="C112" s="1">
        <v>30</v>
      </c>
      <c r="D112" s="2">
        <v>54.31</v>
      </c>
      <c r="E112" s="3"/>
      <c r="F112" s="10" t="s">
        <v>4</v>
      </c>
      <c r="G112" s="1">
        <v>8446</v>
      </c>
      <c r="H112" s="1">
        <v>41</v>
      </c>
      <c r="I112" s="1">
        <v>117.05</v>
      </c>
    </row>
    <row r="113" spans="1:9" x14ac:dyDescent="0.25">
      <c r="A113" s="8" t="s">
        <v>5</v>
      </c>
      <c r="B113" s="1">
        <v>7060</v>
      </c>
      <c r="C113" s="1">
        <v>30</v>
      </c>
      <c r="D113" s="2">
        <v>54.38</v>
      </c>
      <c r="E113" s="3"/>
      <c r="F113" s="10" t="s">
        <v>4</v>
      </c>
      <c r="G113" s="1">
        <v>8446</v>
      </c>
      <c r="H113" s="1">
        <v>41</v>
      </c>
      <c r="I113" s="1">
        <v>117.3</v>
      </c>
    </row>
    <row r="114" spans="1:9" x14ac:dyDescent="0.25">
      <c r="A114" s="8" t="s">
        <v>5</v>
      </c>
      <c r="B114" s="1">
        <v>7060</v>
      </c>
      <c r="C114" s="1">
        <v>31</v>
      </c>
      <c r="D114" s="2">
        <v>54.62</v>
      </c>
      <c r="E114" s="3"/>
      <c r="F114" s="10" t="s">
        <v>4</v>
      </c>
      <c r="G114" s="1">
        <v>8446</v>
      </c>
      <c r="H114" s="1">
        <v>41</v>
      </c>
      <c r="I114" s="1">
        <v>117.28</v>
      </c>
    </row>
    <row r="115" spans="1:9" x14ac:dyDescent="0.25">
      <c r="A115" s="8" t="s">
        <v>5</v>
      </c>
      <c r="B115" s="1">
        <v>7060</v>
      </c>
      <c r="C115" s="1">
        <v>31</v>
      </c>
      <c r="D115" s="2">
        <v>54.52</v>
      </c>
      <c r="E115" s="3"/>
      <c r="F115" s="10" t="s">
        <v>4</v>
      </c>
      <c r="G115" s="1">
        <v>8446</v>
      </c>
      <c r="H115" s="1">
        <v>41</v>
      </c>
      <c r="I115" s="1">
        <v>117.11</v>
      </c>
    </row>
    <row r="116" spans="1:9" x14ac:dyDescent="0.25">
      <c r="A116" s="8" t="s">
        <v>5</v>
      </c>
      <c r="B116" s="1">
        <v>7060</v>
      </c>
      <c r="C116" s="1">
        <v>31</v>
      </c>
      <c r="D116" s="2">
        <v>54.51</v>
      </c>
      <c r="E116" s="3"/>
      <c r="F116" s="10" t="s">
        <v>4</v>
      </c>
      <c r="G116" s="1">
        <v>8446</v>
      </c>
      <c r="H116" s="1">
        <v>41</v>
      </c>
      <c r="I116" s="1">
        <v>117.51</v>
      </c>
    </row>
    <row r="117" spans="1:9" x14ac:dyDescent="0.25">
      <c r="A117" s="8" t="s">
        <v>5</v>
      </c>
      <c r="B117" s="1">
        <v>7060</v>
      </c>
      <c r="C117" s="1">
        <v>31</v>
      </c>
      <c r="D117" s="2">
        <v>54.72</v>
      </c>
      <c r="E117" s="3"/>
      <c r="F117" s="10" t="s">
        <v>4</v>
      </c>
      <c r="G117" s="1">
        <v>8446</v>
      </c>
      <c r="H117" s="1">
        <v>42</v>
      </c>
      <c r="I117" s="1">
        <v>117.63</v>
      </c>
    </row>
    <row r="118" spans="1:9" x14ac:dyDescent="0.25">
      <c r="A118" s="8" t="s">
        <v>5</v>
      </c>
      <c r="B118" s="1">
        <v>7060</v>
      </c>
      <c r="C118" s="1">
        <v>31</v>
      </c>
      <c r="D118" s="2">
        <v>55.17</v>
      </c>
      <c r="E118" s="3"/>
      <c r="F118" s="10" t="s">
        <v>4</v>
      </c>
      <c r="G118" s="1">
        <v>8446</v>
      </c>
      <c r="H118" s="1">
        <v>42</v>
      </c>
      <c r="I118" s="1">
        <v>117.58</v>
      </c>
    </row>
    <row r="119" spans="1:9" x14ac:dyDescent="0.25">
      <c r="A119" s="8" t="s">
        <v>5</v>
      </c>
      <c r="B119" s="1">
        <v>7060</v>
      </c>
      <c r="C119" s="1">
        <v>31</v>
      </c>
      <c r="D119" s="2">
        <v>55.06</v>
      </c>
      <c r="E119" s="3"/>
      <c r="F119" s="10" t="s">
        <v>4</v>
      </c>
      <c r="G119" s="1">
        <v>8446</v>
      </c>
      <c r="H119" s="1">
        <v>42</v>
      </c>
      <c r="I119" s="1">
        <v>117.21</v>
      </c>
    </row>
    <row r="120" spans="1:9" x14ac:dyDescent="0.25">
      <c r="A120" s="8" t="s">
        <v>5</v>
      </c>
      <c r="B120" s="1">
        <v>7060</v>
      </c>
      <c r="C120" s="1">
        <v>31</v>
      </c>
      <c r="D120" s="2">
        <v>55.26</v>
      </c>
      <c r="E120" s="3"/>
      <c r="F120" s="10" t="s">
        <v>4</v>
      </c>
      <c r="G120" s="1">
        <v>8446</v>
      </c>
      <c r="H120" s="1">
        <v>43</v>
      </c>
      <c r="I120" s="1">
        <v>117.55</v>
      </c>
    </row>
    <row r="121" spans="1:9" x14ac:dyDescent="0.25">
      <c r="A121" s="8" t="s">
        <v>5</v>
      </c>
      <c r="B121" s="1">
        <v>7060</v>
      </c>
      <c r="C121" s="1">
        <v>31</v>
      </c>
      <c r="D121" s="2">
        <v>55.28</v>
      </c>
      <c r="E121" s="3"/>
      <c r="F121" s="10" t="s">
        <v>4</v>
      </c>
      <c r="G121" s="1">
        <v>8446</v>
      </c>
      <c r="H121" s="1">
        <v>43</v>
      </c>
      <c r="I121" s="1">
        <v>117.83</v>
      </c>
    </row>
    <row r="122" spans="1:9" x14ac:dyDescent="0.25">
      <c r="A122" s="8" t="s">
        <v>5</v>
      </c>
      <c r="B122" s="1">
        <v>7060</v>
      </c>
      <c r="C122" s="1">
        <v>31</v>
      </c>
      <c r="D122" s="2">
        <v>55.09</v>
      </c>
      <c r="E122" s="3"/>
      <c r="F122" s="10" t="s">
        <v>4</v>
      </c>
      <c r="G122" s="1">
        <v>8446</v>
      </c>
      <c r="H122" s="1">
        <v>43</v>
      </c>
      <c r="I122" s="1">
        <v>117.27</v>
      </c>
    </row>
    <row r="123" spans="1:9" x14ac:dyDescent="0.25">
      <c r="A123" s="8" t="s">
        <v>5</v>
      </c>
      <c r="B123" s="1">
        <v>7060</v>
      </c>
      <c r="C123" s="1">
        <v>31</v>
      </c>
      <c r="D123" s="2">
        <v>55.11</v>
      </c>
      <c r="E123" s="3"/>
      <c r="F123" s="10" t="s">
        <v>4</v>
      </c>
      <c r="G123" s="1">
        <v>8446</v>
      </c>
      <c r="H123" s="1">
        <v>43</v>
      </c>
      <c r="I123" s="1">
        <v>117.65</v>
      </c>
    </row>
    <row r="124" spans="1:9" x14ac:dyDescent="0.25">
      <c r="A124" s="8" t="s">
        <v>5</v>
      </c>
      <c r="B124" s="1">
        <v>7060</v>
      </c>
      <c r="C124" s="1">
        <v>31</v>
      </c>
      <c r="D124" s="2">
        <v>51.89</v>
      </c>
      <c r="E124" s="3"/>
      <c r="F124" s="10" t="s">
        <v>4</v>
      </c>
      <c r="G124" s="1">
        <v>8446</v>
      </c>
      <c r="H124" s="1">
        <v>40</v>
      </c>
      <c r="I124" s="1">
        <v>104.23</v>
      </c>
    </row>
    <row r="125" spans="1:9" x14ac:dyDescent="0.25">
      <c r="A125" s="8" t="s">
        <v>5</v>
      </c>
      <c r="B125" s="1">
        <v>7060</v>
      </c>
      <c r="C125" s="1">
        <v>31</v>
      </c>
      <c r="D125" s="2">
        <v>40.57</v>
      </c>
      <c r="E125" s="3"/>
      <c r="F125" s="10" t="s">
        <v>4</v>
      </c>
      <c r="G125" s="1">
        <v>8446</v>
      </c>
      <c r="H125" s="1">
        <v>39</v>
      </c>
      <c r="I125" s="1">
        <v>62.99</v>
      </c>
    </row>
    <row r="126" spans="1:9" x14ac:dyDescent="0.25">
      <c r="A126" s="9" t="s">
        <v>6</v>
      </c>
      <c r="B126" s="1">
        <f>AVERAGE(B104:B125)</f>
        <v>7060</v>
      </c>
      <c r="C126" s="1">
        <f>AVERAGE(C104:C125)</f>
        <v>30.545454545454547</v>
      </c>
      <c r="D126" s="1">
        <f>AVERAGE(D104:D125)</f>
        <v>53.898181818181804</v>
      </c>
      <c r="F126" s="12" t="s">
        <v>6</v>
      </c>
      <c r="G126" s="1">
        <f>AVERAGE(G104:G125)</f>
        <v>8446</v>
      </c>
      <c r="H126" s="1">
        <f>AVERAGE(H104:H125)</f>
        <v>40.545454545454547</v>
      </c>
      <c r="I126" s="1">
        <f>AVERAGE(I104:I125)</f>
        <v>109.28590909090909</v>
      </c>
    </row>
    <row r="130" spans="1:9" x14ac:dyDescent="0.25">
      <c r="A130" s="5" t="s">
        <v>0</v>
      </c>
      <c r="B130" s="5" t="s">
        <v>1</v>
      </c>
      <c r="C130" s="5" t="s">
        <v>2</v>
      </c>
      <c r="D130" s="6" t="s">
        <v>3</v>
      </c>
      <c r="E130" s="4"/>
      <c r="F130" s="5" t="s">
        <v>0</v>
      </c>
      <c r="G130" s="5" t="s">
        <v>1</v>
      </c>
      <c r="H130" s="5" t="s">
        <v>2</v>
      </c>
      <c r="I130" s="6" t="s">
        <v>3</v>
      </c>
    </row>
    <row r="131" spans="1:9" x14ac:dyDescent="0.25">
      <c r="A131" s="5" t="s">
        <v>7</v>
      </c>
      <c r="B131" s="1">
        <f>AVERAGE(B4:B48)</f>
        <v>4847.666666666667</v>
      </c>
      <c r="C131" s="1">
        <f>AVERAGE(C4:C48)</f>
        <v>32.888888888888886</v>
      </c>
      <c r="D131" s="1">
        <f>AVERAGE(D4:D48)</f>
        <v>44.585555555555551</v>
      </c>
      <c r="E131" s="4"/>
      <c r="F131" s="5" t="s">
        <v>7</v>
      </c>
      <c r="G131" s="1">
        <f>AVERAGE(G4:G48)</f>
        <v>5934.9555555555553</v>
      </c>
      <c r="H131" s="1">
        <f>AVERAGE(H4:H48)</f>
        <v>36.488888888888887</v>
      </c>
      <c r="I131" s="1">
        <f>AVERAGE(I4:I48)</f>
        <v>65.690222222222246</v>
      </c>
    </row>
    <row r="132" spans="1:9" x14ac:dyDescent="0.25">
      <c r="A132" s="5" t="s">
        <v>8</v>
      </c>
      <c r="B132" s="1">
        <f>AVERAGE(B53:B68)</f>
        <v>7060</v>
      </c>
      <c r="C132" s="1">
        <f>AVERAGE(C53:C68)</f>
        <v>27.25</v>
      </c>
      <c r="D132" s="1">
        <f>AVERAGE(D53:D68)</f>
        <v>45.542500000000011</v>
      </c>
      <c r="E132" s="4"/>
      <c r="F132" s="5" t="s">
        <v>8</v>
      </c>
      <c r="G132" s="1">
        <f>AVERAGE(G53:G68)</f>
        <v>8446</v>
      </c>
      <c r="H132" s="1">
        <f>AVERAGE(H53:H68)</f>
        <v>34.9375</v>
      </c>
      <c r="I132" s="1">
        <f>AVERAGE(I53:I68)</f>
        <v>87.135625000000019</v>
      </c>
    </row>
    <row r="133" spans="1:9" x14ac:dyDescent="0.25">
      <c r="A133" s="5" t="s">
        <v>9</v>
      </c>
      <c r="B133" s="1">
        <f>AVERAGE(B53:B68)</f>
        <v>7060</v>
      </c>
      <c r="C133" s="1">
        <f>AVERAGE(C104:C125)</f>
        <v>30.545454545454547</v>
      </c>
      <c r="D133" s="1">
        <f>AVERAGE(D104:D125)</f>
        <v>53.898181818181804</v>
      </c>
      <c r="E133" s="4"/>
      <c r="F133" s="5" t="s">
        <v>9</v>
      </c>
      <c r="G133" s="1">
        <f>AVERAGE(G53:G68)</f>
        <v>8446</v>
      </c>
      <c r="H133" s="1">
        <f>AVERAGE(H104:H125)</f>
        <v>40.545454545454547</v>
      </c>
      <c r="I133" s="1">
        <f>AVERAGE(I104:I125)</f>
        <v>109.28590909090909</v>
      </c>
    </row>
    <row r="134" spans="1:9" x14ac:dyDescent="0.25">
      <c r="A134" s="5" t="s">
        <v>6</v>
      </c>
      <c r="B134" s="13">
        <f>AVERAGE(B131:B133)</f>
        <v>6322.5555555555557</v>
      </c>
      <c r="C134" s="13">
        <f>AVERAGE(C131:C133)</f>
        <v>30.228114478114477</v>
      </c>
      <c r="D134" s="13">
        <f>AVERAGE(D131:D133)</f>
        <v>48.008745791245786</v>
      </c>
      <c r="E134" s="14"/>
      <c r="F134" s="15" t="s">
        <v>6</v>
      </c>
      <c r="G134" s="13">
        <f>AVERAGE(G131:G133)</f>
        <v>7608.9851851851854</v>
      </c>
      <c r="H134" s="13">
        <f>AVERAGE(H131:H133)</f>
        <v>37.323947811447809</v>
      </c>
      <c r="I134" s="13">
        <f>AVERAGE(I131:I133)</f>
        <v>87.370585437710432</v>
      </c>
    </row>
  </sheetData>
  <sortState xmlns:xlrd2="http://schemas.microsoft.com/office/spreadsheetml/2017/richdata2" ref="A131:D174">
    <sortCondition descending="1" ref="A131:A17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ninemost_Three_1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davies</cp:lastModifiedBy>
  <dcterms:created xsi:type="dcterms:W3CDTF">2026-10-10T02:36:54Z</dcterms:created>
  <dcterms:modified xsi:type="dcterms:W3CDTF">2026-10-17T02:01:25Z</dcterms:modified>
</cp:coreProperties>
</file>