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esktop\2026 Y3 BIT\trimester2\Capstone\BHB-Capstone\Metrics\Foremost\"/>
    </mc:Choice>
  </mc:AlternateContent>
  <xr:revisionPtr revIDLastSave="0" documentId="13_ncr:1_{719E9F51-9B35-43DD-8CB8-295D6423A354}" xr6:coauthVersionLast="47" xr6:coauthVersionMax="47" xr10:uidLastSave="{00000000-0000-0000-0000-000000000000}"/>
  <bookViews>
    <workbookView xWindow="-105" yWindow="0" windowWidth="14610" windowHeight="15585" xr2:uid="{FDFF8741-3BF6-443B-B5C8-43E46194F73C}"/>
  </bookViews>
  <sheets>
    <sheet name="ninemost_NINE_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2" i="1" l="1"/>
  <c r="H132" i="1"/>
  <c r="G132" i="1"/>
  <c r="I131" i="1"/>
  <c r="H131" i="1"/>
  <c r="G131" i="1"/>
  <c r="I130" i="1"/>
  <c r="H130" i="1"/>
  <c r="G130" i="1"/>
  <c r="G133" i="1" s="1"/>
  <c r="D132" i="1"/>
  <c r="D131" i="1"/>
  <c r="D130" i="1"/>
  <c r="C132" i="1"/>
  <c r="C131" i="1"/>
  <c r="C130" i="1"/>
  <c r="B132" i="1"/>
  <c r="B131" i="1"/>
  <c r="B130" i="1"/>
  <c r="I126" i="1"/>
  <c r="H126" i="1"/>
  <c r="G126" i="1"/>
  <c r="D126" i="1"/>
  <c r="C126" i="1"/>
  <c r="B126" i="1"/>
  <c r="I71" i="1"/>
  <c r="H71" i="1"/>
  <c r="G71" i="1"/>
  <c r="D71" i="1"/>
  <c r="C71" i="1"/>
  <c r="B71" i="1"/>
  <c r="I41" i="1"/>
  <c r="H41" i="1"/>
  <c r="G41" i="1"/>
  <c r="D41" i="1"/>
  <c r="C41" i="1"/>
  <c r="B41" i="1"/>
  <c r="H133" i="1" l="1"/>
  <c r="C133" i="1"/>
  <c r="D133" i="1"/>
  <c r="B133" i="1"/>
  <c r="I133" i="1"/>
</calcChain>
</file>

<file path=xl/sharedStrings.xml><?xml version="1.0" encoding="utf-8"?>
<sst xmlns="http://schemas.openxmlformats.org/spreadsheetml/2006/main" count="201" uniqueCount="10">
  <si>
    <t>name</t>
  </si>
  <si>
    <t xml:space="preserve"> memory.used [MiB]</t>
  </si>
  <si>
    <t xml:space="preserve"> temperature.gpu</t>
  </si>
  <si>
    <t xml:space="preserve"> power.draw [W]</t>
  </si>
  <si>
    <t>NVIDIA GeForce RTX 3060</t>
  </si>
  <si>
    <t>NVIDIA GeForce RTX 3070</t>
  </si>
  <si>
    <t>ninemost_NINE_1.csv</t>
  </si>
  <si>
    <t>ninemost_NINE_2.csv</t>
  </si>
  <si>
    <t>ninemost_NINE_3.csv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</si>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</sst>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16" fillId="35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16" fillId="35" borderId="10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ninemost_NINE_1!$B$3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ninemost_NINE_1!$B$4:$B$40</c:f>
              <c:numCache>
                <c:formatCode>General</c:formatCode>
                <c:ptCount val="37"/>
                <c:pt idx="0">
                  <c:v>4</c:v>
                </c:pt>
                <c:pt idx="1">
                  <c:v>1</c:v>
                </c:pt>
                <c:pt idx="2">
                  <c:v>158</c:v>
                </c:pt>
                <c:pt idx="3">
                  <c:v>158</c:v>
                </c:pt>
                <c:pt idx="4">
                  <c:v>158</c:v>
                </c:pt>
                <c:pt idx="5">
                  <c:v>158</c:v>
                </c:pt>
                <c:pt idx="6">
                  <c:v>158</c:v>
                </c:pt>
                <c:pt idx="7">
                  <c:v>158</c:v>
                </c:pt>
                <c:pt idx="8">
                  <c:v>158</c:v>
                </c:pt>
                <c:pt idx="9">
                  <c:v>158</c:v>
                </c:pt>
                <c:pt idx="10">
                  <c:v>158</c:v>
                </c:pt>
                <c:pt idx="11">
                  <c:v>158</c:v>
                </c:pt>
                <c:pt idx="12">
                  <c:v>158</c:v>
                </c:pt>
                <c:pt idx="13">
                  <c:v>158</c:v>
                </c:pt>
                <c:pt idx="14">
                  <c:v>5160</c:v>
                </c:pt>
                <c:pt idx="15">
                  <c:v>5160</c:v>
                </c:pt>
                <c:pt idx="16">
                  <c:v>5160</c:v>
                </c:pt>
                <c:pt idx="17">
                  <c:v>5160</c:v>
                </c:pt>
                <c:pt idx="18">
                  <c:v>5736</c:v>
                </c:pt>
                <c:pt idx="19">
                  <c:v>7032</c:v>
                </c:pt>
                <c:pt idx="20">
                  <c:v>7060</c:v>
                </c:pt>
                <c:pt idx="21">
                  <c:v>7064</c:v>
                </c:pt>
                <c:pt idx="22">
                  <c:v>7064</c:v>
                </c:pt>
                <c:pt idx="23">
                  <c:v>7064</c:v>
                </c:pt>
                <c:pt idx="24">
                  <c:v>7064</c:v>
                </c:pt>
                <c:pt idx="25">
                  <c:v>7064</c:v>
                </c:pt>
                <c:pt idx="26">
                  <c:v>7064</c:v>
                </c:pt>
                <c:pt idx="27">
                  <c:v>7064</c:v>
                </c:pt>
                <c:pt idx="28">
                  <c:v>7064</c:v>
                </c:pt>
                <c:pt idx="29">
                  <c:v>7064</c:v>
                </c:pt>
                <c:pt idx="30">
                  <c:v>7064</c:v>
                </c:pt>
                <c:pt idx="31">
                  <c:v>7064</c:v>
                </c:pt>
                <c:pt idx="32">
                  <c:v>7064</c:v>
                </c:pt>
                <c:pt idx="33">
                  <c:v>7064</c:v>
                </c:pt>
                <c:pt idx="34">
                  <c:v>7064</c:v>
                </c:pt>
                <c:pt idx="35">
                  <c:v>7064</c:v>
                </c:pt>
                <c:pt idx="36">
                  <c:v>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3B-49B4-B172-70B5D0060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ninemost_NINE_1!$C$3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ninemost_NINE_1!$C$4:$C$40</c:f>
              <c:numCache>
                <c:formatCode>General</c:formatCode>
                <c:ptCount val="37"/>
                <c:pt idx="0">
                  <c:v>30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31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34</c:v>
                </c:pt>
                <c:pt idx="23">
                  <c:v>34</c:v>
                </c:pt>
                <c:pt idx="24">
                  <c:v>34</c:v>
                </c:pt>
                <c:pt idx="25">
                  <c:v>33</c:v>
                </c:pt>
                <c:pt idx="26">
                  <c:v>33</c:v>
                </c:pt>
                <c:pt idx="27">
                  <c:v>34</c:v>
                </c:pt>
                <c:pt idx="28">
                  <c:v>33</c:v>
                </c:pt>
                <c:pt idx="29">
                  <c:v>34</c:v>
                </c:pt>
                <c:pt idx="30">
                  <c:v>34</c:v>
                </c:pt>
                <c:pt idx="31">
                  <c:v>34</c:v>
                </c:pt>
                <c:pt idx="32">
                  <c:v>34</c:v>
                </c:pt>
                <c:pt idx="33">
                  <c:v>34</c:v>
                </c:pt>
                <c:pt idx="34">
                  <c:v>33</c:v>
                </c:pt>
                <c:pt idx="35">
                  <c:v>33</c:v>
                </c:pt>
                <c:pt idx="36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3A-4EE1-99BB-657041E05B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ninemost_NINE_1!$D$3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ninemost_NINE_1!$D$4:$D$40</c:f>
              <c:numCache>
                <c:formatCode>General</c:formatCode>
                <c:ptCount val="37"/>
                <c:pt idx="0">
                  <c:v>0.34</c:v>
                </c:pt>
                <c:pt idx="1">
                  <c:v>37.590000000000003</c:v>
                </c:pt>
                <c:pt idx="2">
                  <c:v>37.96</c:v>
                </c:pt>
                <c:pt idx="3">
                  <c:v>37.75</c:v>
                </c:pt>
                <c:pt idx="4">
                  <c:v>37.64</c:v>
                </c:pt>
                <c:pt idx="5">
                  <c:v>37.67</c:v>
                </c:pt>
                <c:pt idx="6">
                  <c:v>37.68</c:v>
                </c:pt>
                <c:pt idx="7">
                  <c:v>37.65</c:v>
                </c:pt>
                <c:pt idx="8">
                  <c:v>37.64</c:v>
                </c:pt>
                <c:pt idx="9">
                  <c:v>37.76</c:v>
                </c:pt>
                <c:pt idx="10">
                  <c:v>37.630000000000003</c:v>
                </c:pt>
                <c:pt idx="11">
                  <c:v>37.67</c:v>
                </c:pt>
                <c:pt idx="12">
                  <c:v>37.71</c:v>
                </c:pt>
                <c:pt idx="13">
                  <c:v>37.659999999999997</c:v>
                </c:pt>
                <c:pt idx="14">
                  <c:v>38.07</c:v>
                </c:pt>
                <c:pt idx="15">
                  <c:v>43.5</c:v>
                </c:pt>
                <c:pt idx="16">
                  <c:v>49.13</c:v>
                </c:pt>
                <c:pt idx="17">
                  <c:v>46.75</c:v>
                </c:pt>
                <c:pt idx="18">
                  <c:v>37.97</c:v>
                </c:pt>
                <c:pt idx="19">
                  <c:v>42.98</c:v>
                </c:pt>
                <c:pt idx="20">
                  <c:v>63.6</c:v>
                </c:pt>
                <c:pt idx="21">
                  <c:v>73.8</c:v>
                </c:pt>
                <c:pt idx="22">
                  <c:v>67.5</c:v>
                </c:pt>
                <c:pt idx="23">
                  <c:v>66.42</c:v>
                </c:pt>
                <c:pt idx="24">
                  <c:v>72.400000000000006</c:v>
                </c:pt>
                <c:pt idx="25">
                  <c:v>56.56</c:v>
                </c:pt>
                <c:pt idx="26">
                  <c:v>54.72</c:v>
                </c:pt>
                <c:pt idx="27">
                  <c:v>54.71</c:v>
                </c:pt>
                <c:pt idx="28">
                  <c:v>54.77</c:v>
                </c:pt>
                <c:pt idx="29">
                  <c:v>55.03</c:v>
                </c:pt>
                <c:pt idx="30">
                  <c:v>55.03</c:v>
                </c:pt>
                <c:pt idx="31">
                  <c:v>54.93</c:v>
                </c:pt>
                <c:pt idx="32">
                  <c:v>54.82</c:v>
                </c:pt>
                <c:pt idx="33">
                  <c:v>54.69</c:v>
                </c:pt>
                <c:pt idx="34">
                  <c:v>53.18</c:v>
                </c:pt>
                <c:pt idx="35">
                  <c:v>38.08</c:v>
                </c:pt>
                <c:pt idx="36">
                  <c:v>37.94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70-4332-BC88-5627105E4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ninemost_NINE_1!$G$3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ninemost_NINE_1!$G$4:$G$40</c:f>
              <c:numCache>
                <c:formatCode>General</c:formatCode>
                <c:ptCount val="37"/>
                <c:pt idx="0">
                  <c:v>1</c:v>
                </c:pt>
                <c:pt idx="1">
                  <c:v>1</c:v>
                </c:pt>
                <c:pt idx="2">
                  <c:v>108</c:v>
                </c:pt>
                <c:pt idx="3">
                  <c:v>108</c:v>
                </c:pt>
                <c:pt idx="4">
                  <c:v>108</c:v>
                </c:pt>
                <c:pt idx="5">
                  <c:v>108</c:v>
                </c:pt>
                <c:pt idx="6">
                  <c:v>108</c:v>
                </c:pt>
                <c:pt idx="7">
                  <c:v>108</c:v>
                </c:pt>
                <c:pt idx="8">
                  <c:v>108</c:v>
                </c:pt>
                <c:pt idx="9">
                  <c:v>108</c:v>
                </c:pt>
                <c:pt idx="10">
                  <c:v>108</c:v>
                </c:pt>
                <c:pt idx="11">
                  <c:v>108</c:v>
                </c:pt>
                <c:pt idx="12">
                  <c:v>108</c:v>
                </c:pt>
                <c:pt idx="13">
                  <c:v>108</c:v>
                </c:pt>
                <c:pt idx="14">
                  <c:v>7574</c:v>
                </c:pt>
                <c:pt idx="15">
                  <c:v>7574</c:v>
                </c:pt>
                <c:pt idx="16">
                  <c:v>7574</c:v>
                </c:pt>
                <c:pt idx="17">
                  <c:v>7574</c:v>
                </c:pt>
                <c:pt idx="18">
                  <c:v>8396</c:v>
                </c:pt>
                <c:pt idx="19">
                  <c:v>8418</c:v>
                </c:pt>
                <c:pt idx="20">
                  <c:v>8446</c:v>
                </c:pt>
                <c:pt idx="21">
                  <c:v>8448</c:v>
                </c:pt>
                <c:pt idx="22">
                  <c:v>8448</c:v>
                </c:pt>
                <c:pt idx="23">
                  <c:v>8448</c:v>
                </c:pt>
                <c:pt idx="24">
                  <c:v>8448</c:v>
                </c:pt>
                <c:pt idx="25">
                  <c:v>8448</c:v>
                </c:pt>
                <c:pt idx="26">
                  <c:v>8448</c:v>
                </c:pt>
                <c:pt idx="27">
                  <c:v>8448</c:v>
                </c:pt>
                <c:pt idx="28">
                  <c:v>8448</c:v>
                </c:pt>
                <c:pt idx="29">
                  <c:v>8448</c:v>
                </c:pt>
                <c:pt idx="30">
                  <c:v>8448</c:v>
                </c:pt>
                <c:pt idx="31">
                  <c:v>8448</c:v>
                </c:pt>
                <c:pt idx="32">
                  <c:v>8448</c:v>
                </c:pt>
                <c:pt idx="33">
                  <c:v>8448</c:v>
                </c:pt>
                <c:pt idx="34">
                  <c:v>8448</c:v>
                </c:pt>
                <c:pt idx="35">
                  <c:v>8448</c:v>
                </c:pt>
                <c:pt idx="36">
                  <c:v>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77-4E13-B163-38DE75D71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ninemost_NINE_1!$H$3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ninemost_NINE_1!$H$4:$H$40</c:f>
              <c:numCache>
                <c:formatCode>General</c:formatCode>
                <c:ptCount val="37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32</c:v>
                </c:pt>
                <c:pt idx="12">
                  <c:v>31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35</c:v>
                </c:pt>
                <c:pt idx="22">
                  <c:v>34</c:v>
                </c:pt>
                <c:pt idx="23">
                  <c:v>37</c:v>
                </c:pt>
                <c:pt idx="24">
                  <c:v>38</c:v>
                </c:pt>
                <c:pt idx="25">
                  <c:v>38</c:v>
                </c:pt>
                <c:pt idx="26">
                  <c:v>39</c:v>
                </c:pt>
                <c:pt idx="27">
                  <c:v>39</c:v>
                </c:pt>
                <c:pt idx="28">
                  <c:v>39</c:v>
                </c:pt>
                <c:pt idx="29">
                  <c:v>39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37</c:v>
                </c:pt>
                <c:pt idx="35">
                  <c:v>36</c:v>
                </c:pt>
                <c:pt idx="36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4C-435E-A837-8D71338F78B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ninemost_NINE_1!$I$3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ninemost_NINE_1!$I$4:$I$40</c:f>
              <c:numCache>
                <c:formatCode>General</c:formatCode>
                <c:ptCount val="37"/>
                <c:pt idx="0">
                  <c:v>43.4</c:v>
                </c:pt>
                <c:pt idx="1">
                  <c:v>43.91</c:v>
                </c:pt>
                <c:pt idx="2">
                  <c:v>43.66</c:v>
                </c:pt>
                <c:pt idx="3">
                  <c:v>43.54</c:v>
                </c:pt>
                <c:pt idx="4">
                  <c:v>43.54</c:v>
                </c:pt>
                <c:pt idx="5">
                  <c:v>43.51</c:v>
                </c:pt>
                <c:pt idx="6">
                  <c:v>43.5</c:v>
                </c:pt>
                <c:pt idx="7">
                  <c:v>43.54</c:v>
                </c:pt>
                <c:pt idx="8">
                  <c:v>43.51</c:v>
                </c:pt>
                <c:pt idx="9">
                  <c:v>43.54</c:v>
                </c:pt>
                <c:pt idx="10">
                  <c:v>43.6</c:v>
                </c:pt>
                <c:pt idx="11">
                  <c:v>43.6</c:v>
                </c:pt>
                <c:pt idx="12">
                  <c:v>43.65</c:v>
                </c:pt>
                <c:pt idx="13">
                  <c:v>43.59</c:v>
                </c:pt>
                <c:pt idx="14">
                  <c:v>43.52</c:v>
                </c:pt>
                <c:pt idx="15">
                  <c:v>43.59</c:v>
                </c:pt>
                <c:pt idx="16">
                  <c:v>44.23</c:v>
                </c:pt>
                <c:pt idx="17">
                  <c:v>44.33</c:v>
                </c:pt>
                <c:pt idx="18">
                  <c:v>49.31</c:v>
                </c:pt>
                <c:pt idx="19">
                  <c:v>54.36</c:v>
                </c:pt>
                <c:pt idx="20">
                  <c:v>63.55</c:v>
                </c:pt>
                <c:pt idx="21">
                  <c:v>76.53</c:v>
                </c:pt>
                <c:pt idx="22">
                  <c:v>69.52</c:v>
                </c:pt>
                <c:pt idx="23">
                  <c:v>90.63</c:v>
                </c:pt>
                <c:pt idx="24">
                  <c:v>113.47</c:v>
                </c:pt>
                <c:pt idx="25">
                  <c:v>112.65</c:v>
                </c:pt>
                <c:pt idx="26">
                  <c:v>112.81</c:v>
                </c:pt>
                <c:pt idx="27">
                  <c:v>113.03</c:v>
                </c:pt>
                <c:pt idx="28">
                  <c:v>113.37</c:v>
                </c:pt>
                <c:pt idx="29">
                  <c:v>113.68</c:v>
                </c:pt>
                <c:pt idx="30">
                  <c:v>113.53</c:v>
                </c:pt>
                <c:pt idx="31">
                  <c:v>113.16</c:v>
                </c:pt>
                <c:pt idx="32">
                  <c:v>113.6</c:v>
                </c:pt>
                <c:pt idx="33">
                  <c:v>113.67</c:v>
                </c:pt>
                <c:pt idx="34">
                  <c:v>105.72</c:v>
                </c:pt>
                <c:pt idx="35">
                  <c:v>52.36</c:v>
                </c:pt>
                <c:pt idx="36">
                  <c:v>49.32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A6-4E42-8EA6-ED076E887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ninemost_NINE_1!$B$3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ninemost_NINE_1!$B$53:$B$70</c:f>
              <c:numCache>
                <c:formatCode>General</c:formatCode>
                <c:ptCount val="18"/>
                <c:pt idx="0">
                  <c:v>7064</c:v>
                </c:pt>
                <c:pt idx="1">
                  <c:v>7064</c:v>
                </c:pt>
                <c:pt idx="2">
                  <c:v>7064</c:v>
                </c:pt>
                <c:pt idx="3">
                  <c:v>7064</c:v>
                </c:pt>
                <c:pt idx="4">
                  <c:v>7064</c:v>
                </c:pt>
                <c:pt idx="5">
                  <c:v>7064</c:v>
                </c:pt>
                <c:pt idx="6">
                  <c:v>7064</c:v>
                </c:pt>
                <c:pt idx="7">
                  <c:v>7064</c:v>
                </c:pt>
                <c:pt idx="8">
                  <c:v>7064</c:v>
                </c:pt>
                <c:pt idx="9">
                  <c:v>7064</c:v>
                </c:pt>
                <c:pt idx="10">
                  <c:v>7064</c:v>
                </c:pt>
                <c:pt idx="11">
                  <c:v>7064</c:v>
                </c:pt>
                <c:pt idx="12">
                  <c:v>7064</c:v>
                </c:pt>
                <c:pt idx="13">
                  <c:v>7064</c:v>
                </c:pt>
                <c:pt idx="14">
                  <c:v>7064</c:v>
                </c:pt>
                <c:pt idx="15">
                  <c:v>7064</c:v>
                </c:pt>
                <c:pt idx="16">
                  <c:v>7064</c:v>
                </c:pt>
                <c:pt idx="17">
                  <c:v>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A9-4D52-8335-86F0687FE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ninemost_NINE_1!$C$3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ninemost_NINE_1!$C$53:$C$70</c:f>
              <c:numCache>
                <c:formatCode>General</c:formatCode>
                <c:ptCount val="18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36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36</c:v>
                </c:pt>
                <c:pt idx="11">
                  <c:v>35</c:v>
                </c:pt>
                <c:pt idx="12">
                  <c:v>35</c:v>
                </c:pt>
                <c:pt idx="13">
                  <c:v>36</c:v>
                </c:pt>
                <c:pt idx="14">
                  <c:v>36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70-42DB-B088-CCAEB8C9853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ninemost_NINE_1!$D$3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ninemost_NINE_1!$D$53:$D$70</c:f>
              <c:numCache>
                <c:formatCode>General</c:formatCode>
                <c:ptCount val="18"/>
                <c:pt idx="0">
                  <c:v>38.159999999999997</c:v>
                </c:pt>
                <c:pt idx="1">
                  <c:v>38.15</c:v>
                </c:pt>
                <c:pt idx="2">
                  <c:v>48.06</c:v>
                </c:pt>
                <c:pt idx="3">
                  <c:v>69.680000000000007</c:v>
                </c:pt>
                <c:pt idx="4">
                  <c:v>72.400000000000006</c:v>
                </c:pt>
                <c:pt idx="5">
                  <c:v>56.08</c:v>
                </c:pt>
                <c:pt idx="6">
                  <c:v>56.02</c:v>
                </c:pt>
                <c:pt idx="7">
                  <c:v>55.86</c:v>
                </c:pt>
                <c:pt idx="8">
                  <c:v>56.08</c:v>
                </c:pt>
                <c:pt idx="9">
                  <c:v>56.28</c:v>
                </c:pt>
                <c:pt idx="10">
                  <c:v>56.06</c:v>
                </c:pt>
                <c:pt idx="11">
                  <c:v>55.96</c:v>
                </c:pt>
                <c:pt idx="12">
                  <c:v>56.08</c:v>
                </c:pt>
                <c:pt idx="13">
                  <c:v>56.18</c:v>
                </c:pt>
                <c:pt idx="14">
                  <c:v>55.78</c:v>
                </c:pt>
                <c:pt idx="15">
                  <c:v>55.37</c:v>
                </c:pt>
                <c:pt idx="16">
                  <c:v>41.2</c:v>
                </c:pt>
                <c:pt idx="17">
                  <c:v>38.450000000000003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63-4FFE-8B1B-C3B11145A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ninemost_NINE_1!$G$3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ninemost_NINE_1!$G$53:$G$70</c:f>
              <c:numCache>
                <c:formatCode>General</c:formatCode>
                <c:ptCount val="18"/>
                <c:pt idx="0">
                  <c:v>8448</c:v>
                </c:pt>
                <c:pt idx="1">
                  <c:v>8448</c:v>
                </c:pt>
                <c:pt idx="2">
                  <c:v>8448</c:v>
                </c:pt>
                <c:pt idx="3">
                  <c:v>8448</c:v>
                </c:pt>
                <c:pt idx="4">
                  <c:v>8448</c:v>
                </c:pt>
                <c:pt idx="5">
                  <c:v>8448</c:v>
                </c:pt>
                <c:pt idx="6">
                  <c:v>8448</c:v>
                </c:pt>
                <c:pt idx="7">
                  <c:v>8448</c:v>
                </c:pt>
                <c:pt idx="8">
                  <c:v>8448</c:v>
                </c:pt>
                <c:pt idx="9">
                  <c:v>8448</c:v>
                </c:pt>
                <c:pt idx="10">
                  <c:v>8448</c:v>
                </c:pt>
                <c:pt idx="11">
                  <c:v>8448</c:v>
                </c:pt>
                <c:pt idx="12">
                  <c:v>8448</c:v>
                </c:pt>
                <c:pt idx="13">
                  <c:v>8448</c:v>
                </c:pt>
                <c:pt idx="14">
                  <c:v>8448</c:v>
                </c:pt>
                <c:pt idx="15">
                  <c:v>8448</c:v>
                </c:pt>
                <c:pt idx="16">
                  <c:v>8448</c:v>
                </c:pt>
                <c:pt idx="17">
                  <c:v>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5A-4BD9-AD8F-5DBDF497A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ninemost_NINE_1!$H$3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ninemost_NINE_1!$H$53:$H$70</c:f>
              <c:numCache>
                <c:formatCode>General</c:formatCode>
                <c:ptCount val="18"/>
                <c:pt idx="0">
                  <c:v>38</c:v>
                </c:pt>
                <c:pt idx="1">
                  <c:v>37</c:v>
                </c:pt>
                <c:pt idx="2">
                  <c:v>39</c:v>
                </c:pt>
                <c:pt idx="3">
                  <c:v>44</c:v>
                </c:pt>
                <c:pt idx="4">
                  <c:v>45</c:v>
                </c:pt>
                <c:pt idx="5">
                  <c:v>45</c:v>
                </c:pt>
                <c:pt idx="6">
                  <c:v>46</c:v>
                </c:pt>
                <c:pt idx="7">
                  <c:v>46</c:v>
                </c:pt>
                <c:pt idx="8">
                  <c:v>46</c:v>
                </c:pt>
                <c:pt idx="9">
                  <c:v>46</c:v>
                </c:pt>
                <c:pt idx="10">
                  <c:v>47</c:v>
                </c:pt>
                <c:pt idx="11">
                  <c:v>47</c:v>
                </c:pt>
                <c:pt idx="12">
                  <c:v>47</c:v>
                </c:pt>
                <c:pt idx="13">
                  <c:v>47</c:v>
                </c:pt>
                <c:pt idx="14">
                  <c:v>47</c:v>
                </c:pt>
                <c:pt idx="15">
                  <c:v>46</c:v>
                </c:pt>
                <c:pt idx="16">
                  <c:v>43</c:v>
                </c:pt>
                <c:pt idx="17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04-43C5-941A-295E2325F63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ninemost_NINE_1!$I$3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ninemost_NINE_1!$I$53:$I$70</c:f>
              <c:numCache>
                <c:formatCode>General</c:formatCode>
                <c:ptCount val="18"/>
                <c:pt idx="0">
                  <c:v>44.61</c:v>
                </c:pt>
                <c:pt idx="1">
                  <c:v>44.64</c:v>
                </c:pt>
                <c:pt idx="2">
                  <c:v>51.62</c:v>
                </c:pt>
                <c:pt idx="3">
                  <c:v>103.39</c:v>
                </c:pt>
                <c:pt idx="4">
                  <c:v>118.21</c:v>
                </c:pt>
                <c:pt idx="5">
                  <c:v>117.73</c:v>
                </c:pt>
                <c:pt idx="6">
                  <c:v>117.95</c:v>
                </c:pt>
                <c:pt idx="7">
                  <c:v>117.84</c:v>
                </c:pt>
                <c:pt idx="8">
                  <c:v>118.28</c:v>
                </c:pt>
                <c:pt idx="9">
                  <c:v>117.85</c:v>
                </c:pt>
                <c:pt idx="10">
                  <c:v>117.91</c:v>
                </c:pt>
                <c:pt idx="11">
                  <c:v>117.68</c:v>
                </c:pt>
                <c:pt idx="12">
                  <c:v>117.8</c:v>
                </c:pt>
                <c:pt idx="13">
                  <c:v>118.39</c:v>
                </c:pt>
                <c:pt idx="14">
                  <c:v>117.45</c:v>
                </c:pt>
                <c:pt idx="15">
                  <c:v>118.02</c:v>
                </c:pt>
                <c:pt idx="16">
                  <c:v>60.63</c:v>
                </c:pt>
                <c:pt idx="17">
                  <c:v>51.04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7A-49CB-86D5-C6659492E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ninemost_NINE_1!$B$3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ninemost_NINE_1!$B$105:$B$125</c:f>
              <c:numCache>
                <c:formatCode>General</c:formatCode>
                <c:ptCount val="21"/>
                <c:pt idx="0">
                  <c:v>7064</c:v>
                </c:pt>
                <c:pt idx="1">
                  <c:v>7064</c:v>
                </c:pt>
                <c:pt idx="2">
                  <c:v>7064</c:v>
                </c:pt>
                <c:pt idx="3">
                  <c:v>7064</c:v>
                </c:pt>
                <c:pt idx="4">
                  <c:v>7064</c:v>
                </c:pt>
                <c:pt idx="5">
                  <c:v>7064</c:v>
                </c:pt>
                <c:pt idx="6">
                  <c:v>7064</c:v>
                </c:pt>
                <c:pt idx="7">
                  <c:v>7064</c:v>
                </c:pt>
                <c:pt idx="8">
                  <c:v>7064</c:v>
                </c:pt>
                <c:pt idx="9">
                  <c:v>7064</c:v>
                </c:pt>
                <c:pt idx="10">
                  <c:v>7064</c:v>
                </c:pt>
                <c:pt idx="11">
                  <c:v>7064</c:v>
                </c:pt>
                <c:pt idx="12">
                  <c:v>7064</c:v>
                </c:pt>
                <c:pt idx="13">
                  <c:v>7064</c:v>
                </c:pt>
                <c:pt idx="14">
                  <c:v>7064</c:v>
                </c:pt>
                <c:pt idx="15">
                  <c:v>7064</c:v>
                </c:pt>
                <c:pt idx="16">
                  <c:v>7064</c:v>
                </c:pt>
                <c:pt idx="17">
                  <c:v>7064</c:v>
                </c:pt>
                <c:pt idx="18">
                  <c:v>7064</c:v>
                </c:pt>
                <c:pt idx="19">
                  <c:v>7064</c:v>
                </c:pt>
                <c:pt idx="20">
                  <c:v>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35-4C40-B64F-748CA020B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ninemost_NINE_1!$C$3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ninemost_NINE_1!$C$105:$C$125</c:f>
              <c:numCache>
                <c:formatCode>General</c:formatCode>
                <c:ptCount val="21"/>
                <c:pt idx="0">
                  <c:v>33</c:v>
                </c:pt>
                <c:pt idx="1">
                  <c:v>33</c:v>
                </c:pt>
                <c:pt idx="2">
                  <c:v>32</c:v>
                </c:pt>
                <c:pt idx="3">
                  <c:v>33</c:v>
                </c:pt>
                <c:pt idx="4">
                  <c:v>35</c:v>
                </c:pt>
                <c:pt idx="5">
                  <c:v>35</c:v>
                </c:pt>
                <c:pt idx="6">
                  <c:v>34</c:v>
                </c:pt>
                <c:pt idx="7">
                  <c:v>34</c:v>
                </c:pt>
                <c:pt idx="8">
                  <c:v>34</c:v>
                </c:pt>
                <c:pt idx="9">
                  <c:v>35</c:v>
                </c:pt>
                <c:pt idx="10">
                  <c:v>34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34</c:v>
                </c:pt>
                <c:pt idx="17">
                  <c:v>34</c:v>
                </c:pt>
                <c:pt idx="18">
                  <c:v>34</c:v>
                </c:pt>
                <c:pt idx="19">
                  <c:v>34</c:v>
                </c:pt>
                <c:pt idx="20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92-4EE5-977E-1AB7AA23CA6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ninemost_NINE_1!$D$3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ninemost_NINE_1!$D$105:$D$125</c:f>
              <c:numCache>
                <c:formatCode>General</c:formatCode>
                <c:ptCount val="21"/>
                <c:pt idx="0">
                  <c:v>38.1</c:v>
                </c:pt>
                <c:pt idx="1">
                  <c:v>38.090000000000003</c:v>
                </c:pt>
                <c:pt idx="2">
                  <c:v>38.04</c:v>
                </c:pt>
                <c:pt idx="3">
                  <c:v>30.11</c:v>
                </c:pt>
                <c:pt idx="4">
                  <c:v>60.46</c:v>
                </c:pt>
                <c:pt idx="5">
                  <c:v>73.48</c:v>
                </c:pt>
                <c:pt idx="6">
                  <c:v>63.95</c:v>
                </c:pt>
                <c:pt idx="7">
                  <c:v>55.93</c:v>
                </c:pt>
                <c:pt idx="8">
                  <c:v>55.72</c:v>
                </c:pt>
                <c:pt idx="9">
                  <c:v>56.2</c:v>
                </c:pt>
                <c:pt idx="10">
                  <c:v>56.13</c:v>
                </c:pt>
                <c:pt idx="11">
                  <c:v>55.79</c:v>
                </c:pt>
                <c:pt idx="12">
                  <c:v>55.98</c:v>
                </c:pt>
                <c:pt idx="13">
                  <c:v>55.81</c:v>
                </c:pt>
                <c:pt idx="14">
                  <c:v>56.05</c:v>
                </c:pt>
                <c:pt idx="15">
                  <c:v>56.16</c:v>
                </c:pt>
                <c:pt idx="16">
                  <c:v>50.82</c:v>
                </c:pt>
                <c:pt idx="17">
                  <c:v>41.19</c:v>
                </c:pt>
                <c:pt idx="18">
                  <c:v>38.090000000000003</c:v>
                </c:pt>
                <c:pt idx="19">
                  <c:v>38.1</c:v>
                </c:pt>
                <c:pt idx="20">
                  <c:v>38.07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01-405E-A562-A8B15A51F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ninemost_NINE_1!$G$3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ninemost_NINE_1!$G$105:$G$125</c:f>
              <c:numCache>
                <c:formatCode>General</c:formatCode>
                <c:ptCount val="21"/>
                <c:pt idx="0">
                  <c:v>8448</c:v>
                </c:pt>
                <c:pt idx="1">
                  <c:v>8448</c:v>
                </c:pt>
                <c:pt idx="2">
                  <c:v>8448</c:v>
                </c:pt>
                <c:pt idx="3">
                  <c:v>8448</c:v>
                </c:pt>
                <c:pt idx="4">
                  <c:v>8448</c:v>
                </c:pt>
                <c:pt idx="5">
                  <c:v>8448</c:v>
                </c:pt>
                <c:pt idx="6">
                  <c:v>8448</c:v>
                </c:pt>
                <c:pt idx="7">
                  <c:v>8448</c:v>
                </c:pt>
                <c:pt idx="8">
                  <c:v>8448</c:v>
                </c:pt>
                <c:pt idx="9">
                  <c:v>8448</c:v>
                </c:pt>
                <c:pt idx="10">
                  <c:v>8448</c:v>
                </c:pt>
                <c:pt idx="11">
                  <c:v>8448</c:v>
                </c:pt>
                <c:pt idx="12">
                  <c:v>8448</c:v>
                </c:pt>
                <c:pt idx="13">
                  <c:v>8448</c:v>
                </c:pt>
                <c:pt idx="14">
                  <c:v>8448</c:v>
                </c:pt>
                <c:pt idx="15">
                  <c:v>8448</c:v>
                </c:pt>
                <c:pt idx="16">
                  <c:v>8448</c:v>
                </c:pt>
                <c:pt idx="17">
                  <c:v>8448</c:v>
                </c:pt>
                <c:pt idx="18">
                  <c:v>8448</c:v>
                </c:pt>
                <c:pt idx="19">
                  <c:v>8448</c:v>
                </c:pt>
                <c:pt idx="20">
                  <c:v>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0F-47CB-905A-C4259E9DE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ninemost_NINE_1!$H$3</c:f>
              <c:strCache>
                <c:ptCount val="1"/>
                <c:pt idx="0">
                  <c:v> temperature.gpu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ninemost_NINE_1!$H$105:$H$125</c:f>
              <c:numCache>
                <c:formatCode>General</c:formatCode>
                <c:ptCount val="21"/>
                <c:pt idx="0">
                  <c:v>35</c:v>
                </c:pt>
                <c:pt idx="1">
                  <c:v>35</c:v>
                </c:pt>
                <c:pt idx="2">
                  <c:v>34</c:v>
                </c:pt>
                <c:pt idx="3">
                  <c:v>37</c:v>
                </c:pt>
                <c:pt idx="4">
                  <c:v>40</c:v>
                </c:pt>
                <c:pt idx="5">
                  <c:v>41</c:v>
                </c:pt>
                <c:pt idx="6">
                  <c:v>41</c:v>
                </c:pt>
                <c:pt idx="7">
                  <c:v>42</c:v>
                </c:pt>
                <c:pt idx="8">
                  <c:v>42</c:v>
                </c:pt>
                <c:pt idx="9">
                  <c:v>42</c:v>
                </c:pt>
                <c:pt idx="10">
                  <c:v>43</c:v>
                </c:pt>
                <c:pt idx="11">
                  <c:v>43</c:v>
                </c:pt>
                <c:pt idx="12">
                  <c:v>43</c:v>
                </c:pt>
                <c:pt idx="13">
                  <c:v>44</c:v>
                </c:pt>
                <c:pt idx="14">
                  <c:v>44</c:v>
                </c:pt>
                <c:pt idx="15">
                  <c:v>44</c:v>
                </c:pt>
                <c:pt idx="16">
                  <c:v>40</c:v>
                </c:pt>
                <c:pt idx="17">
                  <c:v>39</c:v>
                </c:pt>
                <c:pt idx="18">
                  <c:v>39</c:v>
                </c:pt>
                <c:pt idx="19">
                  <c:v>38</c:v>
                </c:pt>
                <c:pt idx="20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F1-4E22-9AE5-ACFEB68EDC1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ninemost_NINE_1!$I$3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ninemost_NINE_1!$I$105:$I$125</c:f>
              <c:numCache>
                <c:formatCode>General</c:formatCode>
                <c:ptCount val="21"/>
                <c:pt idx="0">
                  <c:v>43.88</c:v>
                </c:pt>
                <c:pt idx="1">
                  <c:v>43.97</c:v>
                </c:pt>
                <c:pt idx="2">
                  <c:v>44</c:v>
                </c:pt>
                <c:pt idx="3">
                  <c:v>33.46</c:v>
                </c:pt>
                <c:pt idx="4">
                  <c:v>81.33</c:v>
                </c:pt>
                <c:pt idx="5">
                  <c:v>116.58</c:v>
                </c:pt>
                <c:pt idx="6">
                  <c:v>116.73</c:v>
                </c:pt>
                <c:pt idx="7">
                  <c:v>116.91</c:v>
                </c:pt>
                <c:pt idx="8">
                  <c:v>116.49</c:v>
                </c:pt>
                <c:pt idx="9">
                  <c:v>117</c:v>
                </c:pt>
                <c:pt idx="10">
                  <c:v>117.38</c:v>
                </c:pt>
                <c:pt idx="11">
                  <c:v>116.88</c:v>
                </c:pt>
                <c:pt idx="12">
                  <c:v>117.13</c:v>
                </c:pt>
                <c:pt idx="13">
                  <c:v>116.88</c:v>
                </c:pt>
                <c:pt idx="14">
                  <c:v>117.13</c:v>
                </c:pt>
                <c:pt idx="15">
                  <c:v>117.68</c:v>
                </c:pt>
                <c:pt idx="16">
                  <c:v>102.78</c:v>
                </c:pt>
                <c:pt idx="17">
                  <c:v>61.3</c:v>
                </c:pt>
                <c:pt idx="18">
                  <c:v>50.33</c:v>
                </c:pt>
                <c:pt idx="19">
                  <c:v>47.59</c:v>
                </c:pt>
                <c:pt idx="20">
                  <c:v>44.88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83-472F-A6FA-5A1FCA572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2</xdr:row>
      <xdr:rowOff>38100</xdr:rowOff>
    </xdr:from>
    <xdr:to>
      <xdr:col>23</xdr:col>
      <xdr:colOff>558759</xdr:colOff>
      <xdr:row>25</xdr:row>
      <xdr:rowOff>176213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0D4F2F-EF21-460B-A5F9-736BEF2E9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190500</xdr:colOff>
      <xdr:row>2</xdr:row>
      <xdr:rowOff>38100</xdr:rowOff>
    </xdr:from>
    <xdr:to>
      <xdr:col>37</xdr:col>
      <xdr:colOff>430356</xdr:colOff>
      <xdr:row>25</xdr:row>
      <xdr:rowOff>138113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079C68-1826-446A-9FEA-28BB76A3D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571500</xdr:colOff>
      <xdr:row>2</xdr:row>
      <xdr:rowOff>38100</xdr:rowOff>
    </xdr:from>
    <xdr:to>
      <xdr:col>49</xdr:col>
      <xdr:colOff>275978</xdr:colOff>
      <xdr:row>25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3382AD-BFB2-4ECA-A3F9-E7ECA21A46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261938</xdr:colOff>
      <xdr:row>26</xdr:row>
      <xdr:rowOff>166687</xdr:rowOff>
    </xdr:from>
    <xdr:to>
      <xdr:col>23</xdr:col>
      <xdr:colOff>553997</xdr:colOff>
      <xdr:row>50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0DA8B2-F67E-4CB4-BBF3-811A9F596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166687</xdr:colOff>
      <xdr:row>27</xdr:row>
      <xdr:rowOff>23812</xdr:rowOff>
    </xdr:from>
    <xdr:to>
      <xdr:col>37</xdr:col>
      <xdr:colOff>406543</xdr:colOff>
      <xdr:row>50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C096C3-D349-48B8-B7B6-888CC161B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37</xdr:col>
      <xdr:colOff>571500</xdr:colOff>
      <xdr:row>27</xdr:row>
      <xdr:rowOff>23812</xdr:rowOff>
    </xdr:from>
    <xdr:to>
      <xdr:col>49</xdr:col>
      <xdr:colOff>275978</xdr:colOff>
      <xdr:row>50</xdr:row>
      <xdr:rowOff>128587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D0E63B-AD9E-4B38-92B1-D74D7F9C13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261938</xdr:colOff>
      <xdr:row>51</xdr:row>
      <xdr:rowOff>23813</xdr:rowOff>
    </xdr:from>
    <xdr:to>
      <xdr:col>23</xdr:col>
      <xdr:colOff>553997</xdr:colOff>
      <xdr:row>74</xdr:row>
      <xdr:rowOff>161926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D7A60F3-F552-4761-8ADF-232D417E2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142875</xdr:colOff>
      <xdr:row>51</xdr:row>
      <xdr:rowOff>23813</xdr:rowOff>
    </xdr:from>
    <xdr:to>
      <xdr:col>37</xdr:col>
      <xdr:colOff>382731</xdr:colOff>
      <xdr:row>74</xdr:row>
      <xdr:rowOff>123826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C171AA7-02CB-40B0-93F7-81789DCCF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37</xdr:col>
      <xdr:colOff>595312</xdr:colOff>
      <xdr:row>51</xdr:row>
      <xdr:rowOff>119063</xdr:rowOff>
    </xdr:from>
    <xdr:to>
      <xdr:col>49</xdr:col>
      <xdr:colOff>299790</xdr:colOff>
      <xdr:row>75</xdr:row>
      <xdr:rowOff>33338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7C4ACB3-2587-47B7-B0A4-2882B3B50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285750</xdr:colOff>
      <xdr:row>76</xdr:row>
      <xdr:rowOff>71438</xdr:rowOff>
    </xdr:from>
    <xdr:to>
      <xdr:col>23</xdr:col>
      <xdr:colOff>577809</xdr:colOff>
      <xdr:row>100</xdr:row>
      <xdr:rowOff>19051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571EE01-BDC9-4F4C-9653-7DE4D0219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95250</xdr:colOff>
      <xdr:row>76</xdr:row>
      <xdr:rowOff>95250</xdr:rowOff>
    </xdr:from>
    <xdr:to>
      <xdr:col>37</xdr:col>
      <xdr:colOff>335106</xdr:colOff>
      <xdr:row>100</xdr:row>
      <xdr:rowOff>4763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AF5E6FE-83BB-4582-854B-51C3F3F70A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37</xdr:col>
      <xdr:colOff>547688</xdr:colOff>
      <xdr:row>76</xdr:row>
      <xdr:rowOff>95250</xdr:rowOff>
    </xdr:from>
    <xdr:to>
      <xdr:col>49</xdr:col>
      <xdr:colOff>252166</xdr:colOff>
      <xdr:row>100</xdr:row>
      <xdr:rowOff>9525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A605A30-2567-418E-8FB8-AA614F7D7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261937</xdr:colOff>
      <xdr:row>103</xdr:row>
      <xdr:rowOff>23812</xdr:rowOff>
    </xdr:from>
    <xdr:to>
      <xdr:col>23</xdr:col>
      <xdr:colOff>553996</xdr:colOff>
      <xdr:row>126</xdr:row>
      <xdr:rowOff>161925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68CBD80-0EF7-42AE-9E07-D2B91B113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24</xdr:col>
      <xdr:colOff>47625</xdr:colOff>
      <xdr:row>103</xdr:row>
      <xdr:rowOff>0</xdr:rowOff>
    </xdr:from>
    <xdr:to>
      <xdr:col>37</xdr:col>
      <xdr:colOff>287481</xdr:colOff>
      <xdr:row>126</xdr:row>
      <xdr:rowOff>100013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A074117-5B62-4AFC-BD63-798DB09C3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37</xdr:col>
      <xdr:colOff>500063</xdr:colOff>
      <xdr:row>103</xdr:row>
      <xdr:rowOff>23812</xdr:rowOff>
    </xdr:from>
    <xdr:to>
      <xdr:col>49</xdr:col>
      <xdr:colOff>204541</xdr:colOff>
      <xdr:row>126</xdr:row>
      <xdr:rowOff>128587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1CA1CE2-8FDB-414D-87E3-B2D81DC74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214313</xdr:colOff>
      <xdr:row>128</xdr:row>
      <xdr:rowOff>119062</xdr:rowOff>
    </xdr:from>
    <xdr:to>
      <xdr:col>23</xdr:col>
      <xdr:colOff>506372</xdr:colOff>
      <xdr:row>152</xdr:row>
      <xdr:rowOff>66675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1EDE3CE-A8F7-447F-B460-06810A229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0</xdr:colOff>
      <xdr:row>128</xdr:row>
      <xdr:rowOff>142875</xdr:rowOff>
    </xdr:from>
    <xdr:to>
      <xdr:col>37</xdr:col>
      <xdr:colOff>239856</xdr:colOff>
      <xdr:row>152</xdr:row>
      <xdr:rowOff>52388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B3E6C66-8698-4F5E-B67D-D8159BA3CE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37</xdr:col>
      <xdr:colOff>500063</xdr:colOff>
      <xdr:row>128</xdr:row>
      <xdr:rowOff>166687</xdr:rowOff>
    </xdr:from>
    <xdr:to>
      <xdr:col>49</xdr:col>
      <xdr:colOff>204541</xdr:colOff>
      <xdr:row>152</xdr:row>
      <xdr:rowOff>80962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755FE85-492A-4284-9154-3E19B048F0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m\Desktop\2026%20Y3%20BIT\trimester2\Capstone\BHB-Capstone\Metrics\Foremost\ninemost_EIGHT.xlsx" TargetMode="External"/><Relationship Id="rId1" Type="http://schemas.openxmlformats.org/officeDocument/2006/relationships/externalLinkPath" Target="ninemost_E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nemost_EIGHT_1"/>
    </sheetNames>
    <sheetDataSet>
      <sheetData sheetId="0">
        <row r="3">
          <cell r="B3" t="str">
            <v xml:space="preserve"> memory.used [MiB]</v>
          </cell>
          <cell r="C3" t="str">
            <v xml:space="preserve"> temperature.gpu</v>
          </cell>
          <cell r="D3" t="str">
            <v xml:space="preserve"> power.draw [W]</v>
          </cell>
        </row>
        <row r="4">
          <cell r="B4">
            <v>7064</v>
          </cell>
          <cell r="C4">
            <v>28</v>
          </cell>
          <cell r="D4">
            <v>43.02</v>
          </cell>
        </row>
        <row r="5">
          <cell r="B5">
            <v>7064</v>
          </cell>
          <cell r="C5">
            <v>30</v>
          </cell>
          <cell r="D5">
            <v>69.959999999999994</v>
          </cell>
        </row>
        <row r="6">
          <cell r="B6">
            <v>7064</v>
          </cell>
          <cell r="C6">
            <v>29</v>
          </cell>
          <cell r="D6">
            <v>67.650000000000006</v>
          </cell>
        </row>
        <row r="7">
          <cell r="B7">
            <v>7064</v>
          </cell>
          <cell r="C7">
            <v>29</v>
          </cell>
          <cell r="D7">
            <v>54.93</v>
          </cell>
        </row>
        <row r="8">
          <cell r="B8">
            <v>7064</v>
          </cell>
          <cell r="C8">
            <v>30</v>
          </cell>
          <cell r="D8">
            <v>54.81</v>
          </cell>
        </row>
        <row r="9">
          <cell r="B9">
            <v>7064</v>
          </cell>
          <cell r="C9">
            <v>30</v>
          </cell>
          <cell r="D9">
            <v>54.79</v>
          </cell>
        </row>
        <row r="10">
          <cell r="B10">
            <v>7064</v>
          </cell>
          <cell r="C10">
            <v>30</v>
          </cell>
          <cell r="D10">
            <v>54.78</v>
          </cell>
        </row>
        <row r="11">
          <cell r="B11">
            <v>7064</v>
          </cell>
          <cell r="C11">
            <v>30</v>
          </cell>
          <cell r="D11">
            <v>54.84</v>
          </cell>
        </row>
        <row r="12">
          <cell r="B12">
            <v>7064</v>
          </cell>
          <cell r="C12">
            <v>30</v>
          </cell>
          <cell r="D12">
            <v>54.87</v>
          </cell>
        </row>
        <row r="13">
          <cell r="B13">
            <v>7064</v>
          </cell>
          <cell r="C13">
            <v>30</v>
          </cell>
          <cell r="D13">
            <v>54.72</v>
          </cell>
        </row>
        <row r="14">
          <cell r="B14">
            <v>7064</v>
          </cell>
          <cell r="C14">
            <v>30</v>
          </cell>
          <cell r="D14">
            <v>54.66</v>
          </cell>
        </row>
        <row r="15">
          <cell r="B15">
            <v>7064</v>
          </cell>
          <cell r="C15">
            <v>30</v>
          </cell>
          <cell r="D15">
            <v>54.87</v>
          </cell>
        </row>
        <row r="16">
          <cell r="B16">
            <v>7064</v>
          </cell>
          <cell r="C16">
            <v>30</v>
          </cell>
          <cell r="D16">
            <v>48.47</v>
          </cell>
        </row>
        <row r="17">
          <cell r="B17">
            <v>7064</v>
          </cell>
          <cell r="C17">
            <v>30</v>
          </cell>
          <cell r="D17">
            <v>40.53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EB256-725D-4385-848D-F874B95BD535}">
  <dimension ref="A1:I133"/>
  <sheetViews>
    <sheetView tabSelected="1" topLeftCell="I85" zoomScale="40" zoomScaleNormal="40" workbookViewId="0">
      <selection activeCell="AI169" sqref="AI169"/>
    </sheetView>
  </sheetViews>
  <sheetFormatPr defaultRowHeight="15" x14ac:dyDescent="0.25"/>
  <cols>
    <col min="1" max="1" width="28" customWidth="1"/>
    <col min="2" max="2" width="30.140625" customWidth="1"/>
    <col min="3" max="3" width="29.28515625" customWidth="1"/>
    <col min="4" max="4" width="33.42578125" customWidth="1"/>
    <col min="5" max="5" width="7" customWidth="1"/>
    <col min="6" max="6" width="27.7109375" customWidth="1"/>
    <col min="7" max="7" width="21.7109375" customWidth="1"/>
    <col min="8" max="8" width="27" customWidth="1"/>
    <col min="9" max="9" width="21.5703125" customWidth="1"/>
  </cols>
  <sheetData>
    <row r="1" spans="1:9" x14ac:dyDescent="0.25">
      <c r="A1" s="1"/>
      <c r="B1" s="1"/>
      <c r="C1" s="1"/>
      <c r="D1" s="1"/>
    </row>
    <row r="2" spans="1:9" x14ac:dyDescent="0.25">
      <c r="A2" s="5" t="s">
        <v>6</v>
      </c>
      <c r="B2" s="1"/>
      <c r="C2" s="1"/>
      <c r="D2" s="1"/>
    </row>
    <row r="3" spans="1:9" x14ac:dyDescent="0.25">
      <c r="A3" s="5" t="s">
        <v>0</v>
      </c>
      <c r="B3" s="5" t="s">
        <v>1</v>
      </c>
      <c r="C3" s="5" t="s">
        <v>2</v>
      </c>
      <c r="D3" s="5" t="s">
        <v>3</v>
      </c>
      <c r="F3" s="5" t="s">
        <v>0</v>
      </c>
      <c r="G3" s="5" t="s">
        <v>1</v>
      </c>
      <c r="H3" s="5" t="s">
        <v>2</v>
      </c>
      <c r="I3" s="5" t="s">
        <v>3</v>
      </c>
    </row>
    <row r="4" spans="1:9" x14ac:dyDescent="0.25">
      <c r="A4" s="3" t="s">
        <v>5</v>
      </c>
      <c r="B4" s="2">
        <v>4</v>
      </c>
      <c r="C4" s="2">
        <v>30</v>
      </c>
      <c r="D4" s="2">
        <v>0.34</v>
      </c>
      <c r="F4" s="4" t="s">
        <v>4</v>
      </c>
      <c r="G4" s="2">
        <v>1</v>
      </c>
      <c r="H4" s="2">
        <v>31</v>
      </c>
      <c r="I4" s="2">
        <v>43.4</v>
      </c>
    </row>
    <row r="5" spans="1:9" x14ac:dyDescent="0.25">
      <c r="A5" s="3" t="s">
        <v>5</v>
      </c>
      <c r="B5" s="2">
        <v>1</v>
      </c>
      <c r="C5" s="2">
        <v>31</v>
      </c>
      <c r="D5" s="2">
        <v>37.590000000000003</v>
      </c>
      <c r="F5" s="4" t="s">
        <v>4</v>
      </c>
      <c r="G5" s="2">
        <v>1</v>
      </c>
      <c r="H5" s="2">
        <v>31</v>
      </c>
      <c r="I5" s="2">
        <v>43.91</v>
      </c>
    </row>
    <row r="6" spans="1:9" x14ac:dyDescent="0.25">
      <c r="A6" s="3" t="s">
        <v>5</v>
      </c>
      <c r="B6" s="2">
        <v>158</v>
      </c>
      <c r="C6" s="2">
        <v>31</v>
      </c>
      <c r="D6" s="2">
        <v>37.96</v>
      </c>
      <c r="F6" s="4" t="s">
        <v>4</v>
      </c>
      <c r="G6" s="2">
        <v>108</v>
      </c>
      <c r="H6" s="2">
        <v>31</v>
      </c>
      <c r="I6" s="2">
        <v>43.66</v>
      </c>
    </row>
    <row r="7" spans="1:9" x14ac:dyDescent="0.25">
      <c r="A7" s="3" t="s">
        <v>5</v>
      </c>
      <c r="B7" s="2">
        <v>158</v>
      </c>
      <c r="C7" s="2">
        <v>31</v>
      </c>
      <c r="D7" s="2">
        <v>37.75</v>
      </c>
      <c r="F7" s="4" t="s">
        <v>4</v>
      </c>
      <c r="G7" s="2">
        <v>108</v>
      </c>
      <c r="H7" s="2">
        <v>31</v>
      </c>
      <c r="I7" s="2">
        <v>43.54</v>
      </c>
    </row>
    <row r="8" spans="1:9" x14ac:dyDescent="0.25">
      <c r="A8" s="3" t="s">
        <v>5</v>
      </c>
      <c r="B8" s="2">
        <v>158</v>
      </c>
      <c r="C8" s="2">
        <v>31</v>
      </c>
      <c r="D8" s="2">
        <v>37.64</v>
      </c>
      <c r="F8" s="4" t="s">
        <v>4</v>
      </c>
      <c r="G8" s="2">
        <v>108</v>
      </c>
      <c r="H8" s="2">
        <v>31</v>
      </c>
      <c r="I8" s="2">
        <v>43.54</v>
      </c>
    </row>
    <row r="9" spans="1:9" x14ac:dyDescent="0.25">
      <c r="A9" s="3" t="s">
        <v>5</v>
      </c>
      <c r="B9" s="2">
        <v>158</v>
      </c>
      <c r="C9" s="2">
        <v>31</v>
      </c>
      <c r="D9" s="2">
        <v>37.67</v>
      </c>
      <c r="F9" s="4" t="s">
        <v>4</v>
      </c>
      <c r="G9" s="2">
        <v>108</v>
      </c>
      <c r="H9" s="2">
        <v>31</v>
      </c>
      <c r="I9" s="2">
        <v>43.51</v>
      </c>
    </row>
    <row r="10" spans="1:9" x14ac:dyDescent="0.25">
      <c r="A10" s="3" t="s">
        <v>5</v>
      </c>
      <c r="B10" s="2">
        <v>158</v>
      </c>
      <c r="C10" s="2">
        <v>31</v>
      </c>
      <c r="D10" s="2">
        <v>37.68</v>
      </c>
      <c r="F10" s="4" t="s">
        <v>4</v>
      </c>
      <c r="G10" s="2">
        <v>108</v>
      </c>
      <c r="H10" s="2">
        <v>31</v>
      </c>
      <c r="I10" s="2">
        <v>43.5</v>
      </c>
    </row>
    <row r="11" spans="1:9" x14ac:dyDescent="0.25">
      <c r="A11" s="3" t="s">
        <v>5</v>
      </c>
      <c r="B11" s="2">
        <v>158</v>
      </c>
      <c r="C11" s="2">
        <v>31</v>
      </c>
      <c r="D11" s="2">
        <v>37.65</v>
      </c>
      <c r="F11" s="4" t="s">
        <v>4</v>
      </c>
      <c r="G11" s="2">
        <v>108</v>
      </c>
      <c r="H11" s="2">
        <v>31</v>
      </c>
      <c r="I11" s="2">
        <v>43.54</v>
      </c>
    </row>
    <row r="12" spans="1:9" x14ac:dyDescent="0.25">
      <c r="A12" s="3" t="s">
        <v>5</v>
      </c>
      <c r="B12" s="2">
        <v>158</v>
      </c>
      <c r="C12" s="2">
        <v>31</v>
      </c>
      <c r="D12" s="2">
        <v>37.64</v>
      </c>
      <c r="F12" s="4" t="s">
        <v>4</v>
      </c>
      <c r="G12" s="2">
        <v>108</v>
      </c>
      <c r="H12" s="2">
        <v>31</v>
      </c>
      <c r="I12" s="2">
        <v>43.51</v>
      </c>
    </row>
    <row r="13" spans="1:9" x14ac:dyDescent="0.25">
      <c r="A13" s="3" t="s">
        <v>5</v>
      </c>
      <c r="B13" s="2">
        <v>158</v>
      </c>
      <c r="C13" s="2">
        <v>31</v>
      </c>
      <c r="D13" s="2">
        <v>37.76</v>
      </c>
      <c r="F13" s="4" t="s">
        <v>4</v>
      </c>
      <c r="G13" s="2">
        <v>108</v>
      </c>
      <c r="H13" s="2">
        <v>31</v>
      </c>
      <c r="I13" s="2">
        <v>43.54</v>
      </c>
    </row>
    <row r="14" spans="1:9" x14ac:dyDescent="0.25">
      <c r="A14" s="3" t="s">
        <v>5</v>
      </c>
      <c r="B14" s="2">
        <v>158</v>
      </c>
      <c r="C14" s="2">
        <v>31</v>
      </c>
      <c r="D14" s="2">
        <v>37.630000000000003</v>
      </c>
      <c r="F14" s="4" t="s">
        <v>4</v>
      </c>
      <c r="G14" s="2">
        <v>108</v>
      </c>
      <c r="H14" s="2">
        <v>31</v>
      </c>
      <c r="I14" s="2">
        <v>43.6</v>
      </c>
    </row>
    <row r="15" spans="1:9" x14ac:dyDescent="0.25">
      <c r="A15" s="3" t="s">
        <v>5</v>
      </c>
      <c r="B15" s="2">
        <v>158</v>
      </c>
      <c r="C15" s="2">
        <v>31</v>
      </c>
      <c r="D15" s="2">
        <v>37.67</v>
      </c>
      <c r="F15" s="4" t="s">
        <v>4</v>
      </c>
      <c r="G15" s="2">
        <v>108</v>
      </c>
      <c r="H15" s="2">
        <v>32</v>
      </c>
      <c r="I15" s="2">
        <v>43.6</v>
      </c>
    </row>
    <row r="16" spans="1:9" x14ac:dyDescent="0.25">
      <c r="A16" s="3" t="s">
        <v>5</v>
      </c>
      <c r="B16" s="2">
        <v>158</v>
      </c>
      <c r="C16" s="2">
        <v>31</v>
      </c>
      <c r="D16" s="2">
        <v>37.71</v>
      </c>
      <c r="F16" s="4" t="s">
        <v>4</v>
      </c>
      <c r="G16" s="2">
        <v>108</v>
      </c>
      <c r="H16" s="2">
        <v>31</v>
      </c>
      <c r="I16" s="2">
        <v>43.65</v>
      </c>
    </row>
    <row r="17" spans="1:9" x14ac:dyDescent="0.25">
      <c r="A17" s="3" t="s">
        <v>5</v>
      </c>
      <c r="B17" s="2">
        <v>158</v>
      </c>
      <c r="C17" s="2">
        <v>31</v>
      </c>
      <c r="D17" s="2">
        <v>37.659999999999997</v>
      </c>
      <c r="F17" s="4" t="s">
        <v>4</v>
      </c>
      <c r="G17" s="2">
        <v>108</v>
      </c>
      <c r="H17" s="2">
        <v>32</v>
      </c>
      <c r="I17" s="2">
        <v>43.59</v>
      </c>
    </row>
    <row r="18" spans="1:9" x14ac:dyDescent="0.25">
      <c r="A18" s="3" t="s">
        <v>5</v>
      </c>
      <c r="B18" s="2">
        <v>5160</v>
      </c>
      <c r="C18" s="2">
        <v>31</v>
      </c>
      <c r="D18" s="2">
        <v>38.07</v>
      </c>
      <c r="F18" s="4" t="s">
        <v>4</v>
      </c>
      <c r="G18" s="2">
        <v>7574</v>
      </c>
      <c r="H18" s="2">
        <v>32</v>
      </c>
      <c r="I18" s="2">
        <v>43.52</v>
      </c>
    </row>
    <row r="19" spans="1:9" x14ac:dyDescent="0.25">
      <c r="A19" s="3" t="s">
        <v>5</v>
      </c>
      <c r="B19" s="2">
        <v>5160</v>
      </c>
      <c r="C19" s="2">
        <v>32</v>
      </c>
      <c r="D19" s="2">
        <v>43.5</v>
      </c>
      <c r="F19" s="4" t="s">
        <v>4</v>
      </c>
      <c r="G19" s="2">
        <v>7574</v>
      </c>
      <c r="H19" s="2">
        <v>32</v>
      </c>
      <c r="I19" s="2">
        <v>43.59</v>
      </c>
    </row>
    <row r="20" spans="1:9" x14ac:dyDescent="0.25">
      <c r="A20" s="3" t="s">
        <v>5</v>
      </c>
      <c r="B20" s="2">
        <v>5160</v>
      </c>
      <c r="C20" s="2">
        <v>32</v>
      </c>
      <c r="D20" s="2">
        <v>49.13</v>
      </c>
      <c r="F20" s="4" t="s">
        <v>4</v>
      </c>
      <c r="G20" s="2">
        <v>7574</v>
      </c>
      <c r="H20" s="2">
        <v>32</v>
      </c>
      <c r="I20" s="2">
        <v>44.23</v>
      </c>
    </row>
    <row r="21" spans="1:9" x14ac:dyDescent="0.25">
      <c r="A21" s="3" t="s">
        <v>5</v>
      </c>
      <c r="B21" s="2">
        <v>5160</v>
      </c>
      <c r="C21" s="2">
        <v>32</v>
      </c>
      <c r="D21" s="2">
        <v>46.75</v>
      </c>
      <c r="F21" s="4" t="s">
        <v>4</v>
      </c>
      <c r="G21" s="2">
        <v>7574</v>
      </c>
      <c r="H21" s="2">
        <v>32</v>
      </c>
      <c r="I21" s="2">
        <v>44.33</v>
      </c>
    </row>
    <row r="22" spans="1:9" x14ac:dyDescent="0.25">
      <c r="A22" s="3" t="s">
        <v>5</v>
      </c>
      <c r="B22" s="2">
        <v>5736</v>
      </c>
      <c r="C22" s="2">
        <v>31</v>
      </c>
      <c r="D22" s="2">
        <v>37.97</v>
      </c>
      <c r="F22" s="4" t="s">
        <v>4</v>
      </c>
      <c r="G22" s="2">
        <v>8396</v>
      </c>
      <c r="H22" s="2">
        <v>32</v>
      </c>
      <c r="I22" s="2">
        <v>49.31</v>
      </c>
    </row>
    <row r="23" spans="1:9" x14ac:dyDescent="0.25">
      <c r="A23" s="3" t="s">
        <v>5</v>
      </c>
      <c r="B23" s="2">
        <v>7032</v>
      </c>
      <c r="C23" s="2">
        <v>32</v>
      </c>
      <c r="D23" s="2">
        <v>42.98</v>
      </c>
      <c r="F23" s="4" t="s">
        <v>4</v>
      </c>
      <c r="G23" s="2">
        <v>8418</v>
      </c>
      <c r="H23" s="2">
        <v>32</v>
      </c>
      <c r="I23" s="2">
        <v>54.36</v>
      </c>
    </row>
    <row r="24" spans="1:9" x14ac:dyDescent="0.25">
      <c r="A24" s="3" t="s">
        <v>5</v>
      </c>
      <c r="B24" s="2">
        <v>7060</v>
      </c>
      <c r="C24" s="2">
        <v>33</v>
      </c>
      <c r="D24" s="2">
        <v>63.6</v>
      </c>
      <c r="F24" s="4" t="s">
        <v>4</v>
      </c>
      <c r="G24" s="2">
        <v>8446</v>
      </c>
      <c r="H24" s="2">
        <v>32</v>
      </c>
      <c r="I24" s="2">
        <v>63.55</v>
      </c>
    </row>
    <row r="25" spans="1:9" x14ac:dyDescent="0.25">
      <c r="A25" s="3" t="s">
        <v>5</v>
      </c>
      <c r="B25" s="2">
        <v>7064</v>
      </c>
      <c r="C25" s="2">
        <v>34</v>
      </c>
      <c r="D25" s="2">
        <v>73.8</v>
      </c>
      <c r="F25" s="4" t="s">
        <v>4</v>
      </c>
      <c r="G25" s="2">
        <v>8448</v>
      </c>
      <c r="H25" s="2">
        <v>35</v>
      </c>
      <c r="I25" s="2">
        <v>76.53</v>
      </c>
    </row>
    <row r="26" spans="1:9" x14ac:dyDescent="0.25">
      <c r="A26" s="3" t="s">
        <v>5</v>
      </c>
      <c r="B26" s="2">
        <v>7064</v>
      </c>
      <c r="C26" s="2">
        <v>34</v>
      </c>
      <c r="D26" s="2">
        <v>67.5</v>
      </c>
      <c r="F26" s="4" t="s">
        <v>4</v>
      </c>
      <c r="G26" s="2">
        <v>8448</v>
      </c>
      <c r="H26" s="2">
        <v>34</v>
      </c>
      <c r="I26" s="2">
        <v>69.52</v>
      </c>
    </row>
    <row r="27" spans="1:9" x14ac:dyDescent="0.25">
      <c r="A27" s="3" t="s">
        <v>5</v>
      </c>
      <c r="B27" s="2">
        <v>7064</v>
      </c>
      <c r="C27" s="2">
        <v>34</v>
      </c>
      <c r="D27" s="2">
        <v>66.42</v>
      </c>
      <c r="F27" s="4" t="s">
        <v>4</v>
      </c>
      <c r="G27" s="2">
        <v>8448</v>
      </c>
      <c r="H27" s="2">
        <v>37</v>
      </c>
      <c r="I27" s="2">
        <v>90.63</v>
      </c>
    </row>
    <row r="28" spans="1:9" x14ac:dyDescent="0.25">
      <c r="A28" s="3" t="s">
        <v>5</v>
      </c>
      <c r="B28" s="2">
        <v>7064</v>
      </c>
      <c r="C28" s="2">
        <v>34</v>
      </c>
      <c r="D28" s="2">
        <v>72.400000000000006</v>
      </c>
      <c r="F28" s="4" t="s">
        <v>4</v>
      </c>
      <c r="G28" s="2">
        <v>8448</v>
      </c>
      <c r="H28" s="2">
        <v>38</v>
      </c>
      <c r="I28" s="2">
        <v>113.47</v>
      </c>
    </row>
    <row r="29" spans="1:9" x14ac:dyDescent="0.25">
      <c r="A29" s="3" t="s">
        <v>5</v>
      </c>
      <c r="B29" s="2">
        <v>7064</v>
      </c>
      <c r="C29" s="2">
        <v>33</v>
      </c>
      <c r="D29" s="2">
        <v>56.56</v>
      </c>
      <c r="F29" s="4" t="s">
        <v>4</v>
      </c>
      <c r="G29" s="2">
        <v>8448</v>
      </c>
      <c r="H29" s="2">
        <v>38</v>
      </c>
      <c r="I29" s="2">
        <v>112.65</v>
      </c>
    </row>
    <row r="30" spans="1:9" x14ac:dyDescent="0.25">
      <c r="A30" s="3" t="s">
        <v>5</v>
      </c>
      <c r="B30" s="2">
        <v>7064</v>
      </c>
      <c r="C30" s="2">
        <v>33</v>
      </c>
      <c r="D30" s="2">
        <v>54.72</v>
      </c>
      <c r="F30" s="4" t="s">
        <v>4</v>
      </c>
      <c r="G30" s="2">
        <v>8448</v>
      </c>
      <c r="H30" s="2">
        <v>39</v>
      </c>
      <c r="I30" s="2">
        <v>112.81</v>
      </c>
    </row>
    <row r="31" spans="1:9" x14ac:dyDescent="0.25">
      <c r="A31" s="3" t="s">
        <v>5</v>
      </c>
      <c r="B31" s="2">
        <v>7064</v>
      </c>
      <c r="C31" s="2">
        <v>34</v>
      </c>
      <c r="D31" s="2">
        <v>54.71</v>
      </c>
      <c r="F31" s="4" t="s">
        <v>4</v>
      </c>
      <c r="G31" s="2">
        <v>8448</v>
      </c>
      <c r="H31" s="2">
        <v>39</v>
      </c>
      <c r="I31" s="2">
        <v>113.03</v>
      </c>
    </row>
    <row r="32" spans="1:9" x14ac:dyDescent="0.25">
      <c r="A32" s="3" t="s">
        <v>5</v>
      </c>
      <c r="B32" s="2">
        <v>7064</v>
      </c>
      <c r="C32" s="2">
        <v>33</v>
      </c>
      <c r="D32" s="2">
        <v>54.77</v>
      </c>
      <c r="F32" s="4" t="s">
        <v>4</v>
      </c>
      <c r="G32" s="2">
        <v>8448</v>
      </c>
      <c r="H32" s="2">
        <v>39</v>
      </c>
      <c r="I32" s="2">
        <v>113.37</v>
      </c>
    </row>
    <row r="33" spans="1:9" x14ac:dyDescent="0.25">
      <c r="A33" s="3" t="s">
        <v>5</v>
      </c>
      <c r="B33" s="2">
        <v>7064</v>
      </c>
      <c r="C33" s="2">
        <v>34</v>
      </c>
      <c r="D33" s="2">
        <v>55.03</v>
      </c>
      <c r="F33" s="4" t="s">
        <v>4</v>
      </c>
      <c r="G33" s="2">
        <v>8448</v>
      </c>
      <c r="H33" s="2">
        <v>39</v>
      </c>
      <c r="I33" s="2">
        <v>113.68</v>
      </c>
    </row>
    <row r="34" spans="1:9" x14ac:dyDescent="0.25">
      <c r="A34" s="3" t="s">
        <v>5</v>
      </c>
      <c r="B34" s="2">
        <v>7064</v>
      </c>
      <c r="C34" s="2">
        <v>34</v>
      </c>
      <c r="D34" s="2">
        <v>55.03</v>
      </c>
      <c r="F34" s="4" t="s">
        <v>4</v>
      </c>
      <c r="G34" s="2">
        <v>8448</v>
      </c>
      <c r="H34" s="2">
        <v>40</v>
      </c>
      <c r="I34" s="2">
        <v>113.53</v>
      </c>
    </row>
    <row r="35" spans="1:9" x14ac:dyDescent="0.25">
      <c r="A35" s="3" t="s">
        <v>5</v>
      </c>
      <c r="B35" s="2">
        <v>7064</v>
      </c>
      <c r="C35" s="2">
        <v>34</v>
      </c>
      <c r="D35" s="2">
        <v>54.93</v>
      </c>
      <c r="F35" s="4" t="s">
        <v>4</v>
      </c>
      <c r="G35" s="2">
        <v>8448</v>
      </c>
      <c r="H35" s="2">
        <v>40</v>
      </c>
      <c r="I35" s="2">
        <v>113.16</v>
      </c>
    </row>
    <row r="36" spans="1:9" x14ac:dyDescent="0.25">
      <c r="A36" s="3" t="s">
        <v>5</v>
      </c>
      <c r="B36" s="2">
        <v>7064</v>
      </c>
      <c r="C36" s="2">
        <v>34</v>
      </c>
      <c r="D36" s="2">
        <v>54.82</v>
      </c>
      <c r="F36" s="4" t="s">
        <v>4</v>
      </c>
      <c r="G36" s="2">
        <v>8448</v>
      </c>
      <c r="H36" s="2">
        <v>40</v>
      </c>
      <c r="I36" s="2">
        <v>113.6</v>
      </c>
    </row>
    <row r="37" spans="1:9" x14ac:dyDescent="0.25">
      <c r="A37" s="3" t="s">
        <v>5</v>
      </c>
      <c r="B37" s="2">
        <v>7064</v>
      </c>
      <c r="C37" s="2">
        <v>34</v>
      </c>
      <c r="D37" s="2">
        <v>54.69</v>
      </c>
      <c r="F37" s="4" t="s">
        <v>4</v>
      </c>
      <c r="G37" s="2">
        <v>8448</v>
      </c>
      <c r="H37" s="2">
        <v>40</v>
      </c>
      <c r="I37" s="2">
        <v>113.67</v>
      </c>
    </row>
    <row r="38" spans="1:9" x14ac:dyDescent="0.25">
      <c r="A38" s="3" t="s">
        <v>5</v>
      </c>
      <c r="B38" s="2">
        <v>7064</v>
      </c>
      <c r="C38" s="2">
        <v>33</v>
      </c>
      <c r="D38" s="2">
        <v>53.18</v>
      </c>
      <c r="F38" s="4" t="s">
        <v>4</v>
      </c>
      <c r="G38" s="2">
        <v>8448</v>
      </c>
      <c r="H38" s="2">
        <v>37</v>
      </c>
      <c r="I38" s="2">
        <v>105.72</v>
      </c>
    </row>
    <row r="39" spans="1:9" x14ac:dyDescent="0.25">
      <c r="A39" s="3" t="s">
        <v>5</v>
      </c>
      <c r="B39" s="2">
        <v>7064</v>
      </c>
      <c r="C39" s="2">
        <v>33</v>
      </c>
      <c r="D39" s="2">
        <v>38.08</v>
      </c>
      <c r="F39" s="4" t="s">
        <v>4</v>
      </c>
      <c r="G39" s="2">
        <v>8448</v>
      </c>
      <c r="H39" s="2">
        <v>36</v>
      </c>
      <c r="I39" s="2">
        <v>52.36</v>
      </c>
    </row>
    <row r="40" spans="1:9" x14ac:dyDescent="0.25">
      <c r="A40" s="3" t="s">
        <v>5</v>
      </c>
      <c r="B40" s="2">
        <v>7064</v>
      </c>
      <c r="C40" s="2">
        <v>33</v>
      </c>
      <c r="D40" s="2">
        <v>37.94</v>
      </c>
      <c r="F40" s="4" t="s">
        <v>4</v>
      </c>
      <c r="G40" s="2">
        <v>8448</v>
      </c>
      <c r="H40" s="2">
        <v>35</v>
      </c>
      <c r="I40" s="2">
        <v>49.32</v>
      </c>
    </row>
    <row r="41" spans="1:9" x14ac:dyDescent="0.25">
      <c r="A41" s="6" t="s">
        <v>9</v>
      </c>
      <c r="B41" s="2">
        <f>AVERAGE(B4:B40)</f>
        <v>4199.8108108108108</v>
      </c>
      <c r="C41" s="2">
        <f>AVERAGE(C4:C40)</f>
        <v>32.270270270270274</v>
      </c>
      <c r="D41" s="2">
        <f>AVERAGE(D4:D40)</f>
        <v>46.403513513513516</v>
      </c>
      <c r="F41" s="7" t="s">
        <v>9</v>
      </c>
      <c r="G41" s="2">
        <f>AVERAGE(G4:G40)</f>
        <v>5189.7837837837842</v>
      </c>
      <c r="H41" s="2">
        <f>AVERAGE(H4:H40)</f>
        <v>34.216216216216218</v>
      </c>
      <c r="I41" s="2">
        <f>AVERAGE(I4:I40)</f>
        <v>68.379189189189191</v>
      </c>
    </row>
    <row r="51" spans="1:9" x14ac:dyDescent="0.25">
      <c r="A51" s="5" t="s">
        <v>7</v>
      </c>
      <c r="B51" s="1"/>
      <c r="C51" s="1"/>
      <c r="D51" s="1"/>
    </row>
    <row r="52" spans="1:9" x14ac:dyDescent="0.25">
      <c r="A52" s="5" t="s">
        <v>0</v>
      </c>
      <c r="B52" s="5" t="s">
        <v>1</v>
      </c>
      <c r="C52" s="5" t="s">
        <v>2</v>
      </c>
      <c r="D52" s="5" t="s">
        <v>3</v>
      </c>
      <c r="F52" s="5" t="s">
        <v>0</v>
      </c>
      <c r="G52" s="5" t="s">
        <v>1</v>
      </c>
      <c r="H52" s="5" t="s">
        <v>2</v>
      </c>
      <c r="I52" s="5" t="s">
        <v>3</v>
      </c>
    </row>
    <row r="53" spans="1:9" x14ac:dyDescent="0.25">
      <c r="A53" s="3" t="s">
        <v>5</v>
      </c>
      <c r="B53" s="2">
        <v>7064</v>
      </c>
      <c r="C53" s="2">
        <v>33</v>
      </c>
      <c r="D53" s="2">
        <v>38.159999999999997</v>
      </c>
      <c r="F53" s="4" t="s">
        <v>4</v>
      </c>
      <c r="G53" s="2">
        <v>8448</v>
      </c>
      <c r="H53" s="2">
        <v>38</v>
      </c>
      <c r="I53" s="2">
        <v>44.61</v>
      </c>
    </row>
    <row r="54" spans="1:9" x14ac:dyDescent="0.25">
      <c r="A54" s="3" t="s">
        <v>5</v>
      </c>
      <c r="B54" s="2">
        <v>7064</v>
      </c>
      <c r="C54" s="2">
        <v>34</v>
      </c>
      <c r="D54" s="2">
        <v>38.15</v>
      </c>
      <c r="F54" s="4" t="s">
        <v>4</v>
      </c>
      <c r="G54" s="2">
        <v>8448</v>
      </c>
      <c r="H54" s="2">
        <v>37</v>
      </c>
      <c r="I54" s="2">
        <v>44.64</v>
      </c>
    </row>
    <row r="55" spans="1:9" x14ac:dyDescent="0.25">
      <c r="A55" s="3" t="s">
        <v>5</v>
      </c>
      <c r="B55" s="2">
        <v>7064</v>
      </c>
      <c r="C55" s="2">
        <v>35</v>
      </c>
      <c r="D55" s="2">
        <v>48.06</v>
      </c>
      <c r="F55" s="4" t="s">
        <v>4</v>
      </c>
      <c r="G55" s="2">
        <v>8448</v>
      </c>
      <c r="H55" s="2">
        <v>39</v>
      </c>
      <c r="I55" s="2">
        <v>51.62</v>
      </c>
    </row>
    <row r="56" spans="1:9" x14ac:dyDescent="0.25">
      <c r="A56" s="3" t="s">
        <v>5</v>
      </c>
      <c r="B56" s="2">
        <v>7064</v>
      </c>
      <c r="C56" s="2">
        <v>36</v>
      </c>
      <c r="D56" s="2">
        <v>69.680000000000007</v>
      </c>
      <c r="F56" s="4" t="s">
        <v>4</v>
      </c>
      <c r="G56" s="2">
        <v>8448</v>
      </c>
      <c r="H56" s="2">
        <v>44</v>
      </c>
      <c r="I56" s="2">
        <v>103.39</v>
      </c>
    </row>
    <row r="57" spans="1:9" x14ac:dyDescent="0.25">
      <c r="A57" s="3" t="s">
        <v>5</v>
      </c>
      <c r="B57" s="2">
        <v>7064</v>
      </c>
      <c r="C57" s="2">
        <v>36</v>
      </c>
      <c r="D57" s="2">
        <v>72.400000000000006</v>
      </c>
      <c r="F57" s="4" t="s">
        <v>4</v>
      </c>
      <c r="G57" s="2">
        <v>8448</v>
      </c>
      <c r="H57" s="2">
        <v>45</v>
      </c>
      <c r="I57" s="2">
        <v>118.21</v>
      </c>
    </row>
    <row r="58" spans="1:9" x14ac:dyDescent="0.25">
      <c r="A58" s="3" t="s">
        <v>5</v>
      </c>
      <c r="B58" s="2">
        <v>7064</v>
      </c>
      <c r="C58" s="2">
        <v>35</v>
      </c>
      <c r="D58" s="2">
        <v>56.08</v>
      </c>
      <c r="F58" s="4" t="s">
        <v>4</v>
      </c>
      <c r="G58" s="2">
        <v>8448</v>
      </c>
      <c r="H58" s="2">
        <v>45</v>
      </c>
      <c r="I58" s="2">
        <v>117.73</v>
      </c>
    </row>
    <row r="59" spans="1:9" x14ac:dyDescent="0.25">
      <c r="A59" s="3" t="s">
        <v>5</v>
      </c>
      <c r="B59" s="2">
        <v>7064</v>
      </c>
      <c r="C59" s="2">
        <v>35</v>
      </c>
      <c r="D59" s="2">
        <v>56.02</v>
      </c>
      <c r="F59" s="4" t="s">
        <v>4</v>
      </c>
      <c r="G59" s="2">
        <v>8448</v>
      </c>
      <c r="H59" s="2">
        <v>46</v>
      </c>
      <c r="I59" s="2">
        <v>117.95</v>
      </c>
    </row>
    <row r="60" spans="1:9" x14ac:dyDescent="0.25">
      <c r="A60" s="3" t="s">
        <v>5</v>
      </c>
      <c r="B60" s="2">
        <v>7064</v>
      </c>
      <c r="C60" s="2">
        <v>35</v>
      </c>
      <c r="D60" s="2">
        <v>55.86</v>
      </c>
      <c r="F60" s="4" t="s">
        <v>4</v>
      </c>
      <c r="G60" s="2">
        <v>8448</v>
      </c>
      <c r="H60" s="2">
        <v>46</v>
      </c>
      <c r="I60" s="2">
        <v>117.84</v>
      </c>
    </row>
    <row r="61" spans="1:9" x14ac:dyDescent="0.25">
      <c r="A61" s="3" t="s">
        <v>5</v>
      </c>
      <c r="B61" s="2">
        <v>7064</v>
      </c>
      <c r="C61" s="2">
        <v>35</v>
      </c>
      <c r="D61" s="2">
        <v>56.08</v>
      </c>
      <c r="F61" s="4" t="s">
        <v>4</v>
      </c>
      <c r="G61" s="2">
        <v>8448</v>
      </c>
      <c r="H61" s="2">
        <v>46</v>
      </c>
      <c r="I61" s="2">
        <v>118.28</v>
      </c>
    </row>
    <row r="62" spans="1:9" x14ac:dyDescent="0.25">
      <c r="A62" s="3" t="s">
        <v>5</v>
      </c>
      <c r="B62" s="2">
        <v>7064</v>
      </c>
      <c r="C62" s="2">
        <v>35</v>
      </c>
      <c r="D62" s="2">
        <v>56.28</v>
      </c>
      <c r="F62" s="4" t="s">
        <v>4</v>
      </c>
      <c r="G62" s="2">
        <v>8448</v>
      </c>
      <c r="H62" s="2">
        <v>46</v>
      </c>
      <c r="I62" s="2">
        <v>117.85</v>
      </c>
    </row>
    <row r="63" spans="1:9" x14ac:dyDescent="0.25">
      <c r="A63" s="3" t="s">
        <v>5</v>
      </c>
      <c r="B63" s="2">
        <v>7064</v>
      </c>
      <c r="C63" s="2">
        <v>36</v>
      </c>
      <c r="D63" s="2">
        <v>56.06</v>
      </c>
      <c r="F63" s="4" t="s">
        <v>4</v>
      </c>
      <c r="G63" s="2">
        <v>8448</v>
      </c>
      <c r="H63" s="2">
        <v>47</v>
      </c>
      <c r="I63" s="2">
        <v>117.91</v>
      </c>
    </row>
    <row r="64" spans="1:9" x14ac:dyDescent="0.25">
      <c r="A64" s="3" t="s">
        <v>5</v>
      </c>
      <c r="B64" s="2">
        <v>7064</v>
      </c>
      <c r="C64" s="2">
        <v>35</v>
      </c>
      <c r="D64" s="2">
        <v>55.96</v>
      </c>
      <c r="F64" s="4" t="s">
        <v>4</v>
      </c>
      <c r="G64" s="2">
        <v>8448</v>
      </c>
      <c r="H64" s="2">
        <v>47</v>
      </c>
      <c r="I64" s="2">
        <v>117.68</v>
      </c>
    </row>
    <row r="65" spans="1:9" x14ac:dyDescent="0.25">
      <c r="A65" s="3" t="s">
        <v>5</v>
      </c>
      <c r="B65" s="2">
        <v>7064</v>
      </c>
      <c r="C65" s="2">
        <v>35</v>
      </c>
      <c r="D65" s="2">
        <v>56.08</v>
      </c>
      <c r="F65" s="4" t="s">
        <v>4</v>
      </c>
      <c r="G65" s="2">
        <v>8448</v>
      </c>
      <c r="H65" s="2">
        <v>47</v>
      </c>
      <c r="I65" s="2">
        <v>117.8</v>
      </c>
    </row>
    <row r="66" spans="1:9" x14ac:dyDescent="0.25">
      <c r="A66" s="3" t="s">
        <v>5</v>
      </c>
      <c r="B66" s="2">
        <v>7064</v>
      </c>
      <c r="C66" s="2">
        <v>36</v>
      </c>
      <c r="D66" s="2">
        <v>56.18</v>
      </c>
      <c r="F66" s="4" t="s">
        <v>4</v>
      </c>
      <c r="G66" s="2">
        <v>8448</v>
      </c>
      <c r="H66" s="2">
        <v>47</v>
      </c>
      <c r="I66" s="2">
        <v>118.39</v>
      </c>
    </row>
    <row r="67" spans="1:9" x14ac:dyDescent="0.25">
      <c r="A67" s="3" t="s">
        <v>5</v>
      </c>
      <c r="B67" s="2">
        <v>7064</v>
      </c>
      <c r="C67" s="2">
        <v>36</v>
      </c>
      <c r="D67" s="2">
        <v>55.78</v>
      </c>
      <c r="F67" s="4" t="s">
        <v>4</v>
      </c>
      <c r="G67" s="2">
        <v>8448</v>
      </c>
      <c r="H67" s="2">
        <v>47</v>
      </c>
      <c r="I67" s="2">
        <v>117.45</v>
      </c>
    </row>
    <row r="68" spans="1:9" x14ac:dyDescent="0.25">
      <c r="A68" s="3" t="s">
        <v>5</v>
      </c>
      <c r="B68" s="2">
        <v>7064</v>
      </c>
      <c r="C68" s="2">
        <v>35</v>
      </c>
      <c r="D68" s="2">
        <v>55.37</v>
      </c>
      <c r="F68" s="4" t="s">
        <v>4</v>
      </c>
      <c r="G68" s="2">
        <v>8448</v>
      </c>
      <c r="H68" s="2">
        <v>46</v>
      </c>
      <c r="I68" s="2">
        <v>118.02</v>
      </c>
    </row>
    <row r="69" spans="1:9" x14ac:dyDescent="0.25">
      <c r="A69" s="3" t="s">
        <v>5</v>
      </c>
      <c r="B69" s="2">
        <v>7064</v>
      </c>
      <c r="C69" s="2">
        <v>35</v>
      </c>
      <c r="D69" s="2">
        <v>41.2</v>
      </c>
      <c r="F69" s="4" t="s">
        <v>4</v>
      </c>
      <c r="G69" s="2">
        <v>8448</v>
      </c>
      <c r="H69" s="2">
        <v>43</v>
      </c>
      <c r="I69" s="2">
        <v>60.63</v>
      </c>
    </row>
    <row r="70" spans="1:9" x14ac:dyDescent="0.25">
      <c r="A70" s="3" t="s">
        <v>5</v>
      </c>
      <c r="B70" s="2">
        <v>7064</v>
      </c>
      <c r="C70" s="2">
        <v>35</v>
      </c>
      <c r="D70" s="2">
        <v>38.450000000000003</v>
      </c>
      <c r="F70" s="4" t="s">
        <v>4</v>
      </c>
      <c r="G70" s="2">
        <v>8448</v>
      </c>
      <c r="H70" s="2">
        <v>42</v>
      </c>
      <c r="I70" s="2">
        <v>51.04</v>
      </c>
    </row>
    <row r="71" spans="1:9" x14ac:dyDescent="0.25">
      <c r="A71" s="6" t="s">
        <v>9</v>
      </c>
      <c r="B71" s="2">
        <f>AVERAGE(B53:B70)</f>
        <v>7064</v>
      </c>
      <c r="C71" s="2">
        <f>AVERAGE(C53:C70)</f>
        <v>35.111111111111114</v>
      </c>
      <c r="D71" s="2">
        <f>AVERAGE(D53:D70)</f>
        <v>53.43611111111111</v>
      </c>
      <c r="F71" s="7" t="s">
        <v>9</v>
      </c>
      <c r="G71" s="2">
        <f>AVERAGE(G53:G70)</f>
        <v>8448</v>
      </c>
      <c r="H71" s="2">
        <f>AVERAGE(H53:H70)</f>
        <v>44.333333333333336</v>
      </c>
      <c r="I71" s="2">
        <f>AVERAGE(I53:I70)</f>
        <v>98.391111111111115</v>
      </c>
    </row>
    <row r="103" spans="1:9" x14ac:dyDescent="0.25">
      <c r="A103" s="5" t="s">
        <v>8</v>
      </c>
      <c r="B103" s="1"/>
      <c r="C103" s="1"/>
      <c r="D103" s="1"/>
    </row>
    <row r="104" spans="1:9" x14ac:dyDescent="0.25">
      <c r="A104" s="5" t="s">
        <v>0</v>
      </c>
      <c r="B104" s="5" t="s">
        <v>1</v>
      </c>
      <c r="C104" s="5" t="s">
        <v>2</v>
      </c>
      <c r="D104" s="5" t="s">
        <v>3</v>
      </c>
      <c r="F104" s="5" t="s">
        <v>0</v>
      </c>
      <c r="G104" s="5" t="s">
        <v>1</v>
      </c>
      <c r="H104" s="5" t="s">
        <v>2</v>
      </c>
      <c r="I104" s="5" t="s">
        <v>3</v>
      </c>
    </row>
    <row r="105" spans="1:9" x14ac:dyDescent="0.25">
      <c r="A105" s="3" t="s">
        <v>5</v>
      </c>
      <c r="B105" s="2">
        <v>7064</v>
      </c>
      <c r="C105" s="2">
        <v>33</v>
      </c>
      <c r="D105" s="2">
        <v>38.1</v>
      </c>
      <c r="F105" s="4" t="s">
        <v>4</v>
      </c>
      <c r="G105" s="2">
        <v>8448</v>
      </c>
      <c r="H105" s="2">
        <v>35</v>
      </c>
      <c r="I105" s="2">
        <v>43.88</v>
      </c>
    </row>
    <row r="106" spans="1:9" x14ac:dyDescent="0.25">
      <c r="A106" s="3" t="s">
        <v>5</v>
      </c>
      <c r="B106" s="2">
        <v>7064</v>
      </c>
      <c r="C106" s="2">
        <v>33</v>
      </c>
      <c r="D106" s="2">
        <v>38.090000000000003</v>
      </c>
      <c r="F106" s="4" t="s">
        <v>4</v>
      </c>
      <c r="G106" s="2">
        <v>8448</v>
      </c>
      <c r="H106" s="2">
        <v>35</v>
      </c>
      <c r="I106" s="2">
        <v>43.97</v>
      </c>
    </row>
    <row r="107" spans="1:9" x14ac:dyDescent="0.25">
      <c r="A107" s="3" t="s">
        <v>5</v>
      </c>
      <c r="B107" s="2">
        <v>7064</v>
      </c>
      <c r="C107" s="2">
        <v>32</v>
      </c>
      <c r="D107" s="2">
        <v>38.04</v>
      </c>
      <c r="F107" s="4" t="s">
        <v>4</v>
      </c>
      <c r="G107" s="2">
        <v>8448</v>
      </c>
      <c r="H107" s="2">
        <v>34</v>
      </c>
      <c r="I107" s="2">
        <v>44</v>
      </c>
    </row>
    <row r="108" spans="1:9" x14ac:dyDescent="0.25">
      <c r="A108" s="3" t="s">
        <v>5</v>
      </c>
      <c r="B108" s="2">
        <v>7064</v>
      </c>
      <c r="C108" s="2">
        <v>33</v>
      </c>
      <c r="D108" s="2">
        <v>30.11</v>
      </c>
      <c r="F108" s="4" t="s">
        <v>4</v>
      </c>
      <c r="G108" s="2">
        <v>8448</v>
      </c>
      <c r="H108" s="2">
        <v>37</v>
      </c>
      <c r="I108" s="2">
        <v>33.46</v>
      </c>
    </row>
    <row r="109" spans="1:9" x14ac:dyDescent="0.25">
      <c r="A109" s="3" t="s">
        <v>5</v>
      </c>
      <c r="B109" s="2">
        <v>7064</v>
      </c>
      <c r="C109" s="2">
        <v>35</v>
      </c>
      <c r="D109" s="2">
        <v>60.46</v>
      </c>
      <c r="F109" s="4" t="s">
        <v>4</v>
      </c>
      <c r="G109" s="2">
        <v>8448</v>
      </c>
      <c r="H109" s="2">
        <v>40</v>
      </c>
      <c r="I109" s="2">
        <v>81.33</v>
      </c>
    </row>
    <row r="110" spans="1:9" x14ac:dyDescent="0.25">
      <c r="A110" s="3" t="s">
        <v>5</v>
      </c>
      <c r="B110" s="2">
        <v>7064</v>
      </c>
      <c r="C110" s="2">
        <v>35</v>
      </c>
      <c r="D110" s="2">
        <v>73.48</v>
      </c>
      <c r="F110" s="4" t="s">
        <v>4</v>
      </c>
      <c r="G110" s="2">
        <v>8448</v>
      </c>
      <c r="H110" s="2">
        <v>41</v>
      </c>
      <c r="I110" s="2">
        <v>116.58</v>
      </c>
    </row>
    <row r="111" spans="1:9" x14ac:dyDescent="0.25">
      <c r="A111" s="3" t="s">
        <v>5</v>
      </c>
      <c r="B111" s="2">
        <v>7064</v>
      </c>
      <c r="C111" s="2">
        <v>34</v>
      </c>
      <c r="D111" s="2">
        <v>63.95</v>
      </c>
      <c r="F111" s="4" t="s">
        <v>4</v>
      </c>
      <c r="G111" s="2">
        <v>8448</v>
      </c>
      <c r="H111" s="2">
        <v>41</v>
      </c>
      <c r="I111" s="2">
        <v>116.73</v>
      </c>
    </row>
    <row r="112" spans="1:9" x14ac:dyDescent="0.25">
      <c r="A112" s="3" t="s">
        <v>5</v>
      </c>
      <c r="B112" s="2">
        <v>7064</v>
      </c>
      <c r="C112" s="2">
        <v>34</v>
      </c>
      <c r="D112" s="2">
        <v>55.93</v>
      </c>
      <c r="F112" s="4" t="s">
        <v>4</v>
      </c>
      <c r="G112" s="2">
        <v>8448</v>
      </c>
      <c r="H112" s="2">
        <v>42</v>
      </c>
      <c r="I112" s="2">
        <v>116.91</v>
      </c>
    </row>
    <row r="113" spans="1:9" x14ac:dyDescent="0.25">
      <c r="A113" s="3" t="s">
        <v>5</v>
      </c>
      <c r="B113" s="2">
        <v>7064</v>
      </c>
      <c r="C113" s="2">
        <v>34</v>
      </c>
      <c r="D113" s="2">
        <v>55.72</v>
      </c>
      <c r="F113" s="4" t="s">
        <v>4</v>
      </c>
      <c r="G113" s="2">
        <v>8448</v>
      </c>
      <c r="H113" s="2">
        <v>42</v>
      </c>
      <c r="I113" s="2">
        <v>116.49</v>
      </c>
    </row>
    <row r="114" spans="1:9" x14ac:dyDescent="0.25">
      <c r="A114" s="3" t="s">
        <v>5</v>
      </c>
      <c r="B114" s="2">
        <v>7064</v>
      </c>
      <c r="C114" s="2">
        <v>35</v>
      </c>
      <c r="D114" s="2">
        <v>56.2</v>
      </c>
      <c r="F114" s="4" t="s">
        <v>4</v>
      </c>
      <c r="G114" s="2">
        <v>8448</v>
      </c>
      <c r="H114" s="2">
        <v>42</v>
      </c>
      <c r="I114" s="2">
        <v>117</v>
      </c>
    </row>
    <row r="115" spans="1:9" x14ac:dyDescent="0.25">
      <c r="A115" s="3" t="s">
        <v>5</v>
      </c>
      <c r="B115" s="2">
        <v>7064</v>
      </c>
      <c r="C115" s="2">
        <v>34</v>
      </c>
      <c r="D115" s="2">
        <v>56.13</v>
      </c>
      <c r="F115" s="4" t="s">
        <v>4</v>
      </c>
      <c r="G115" s="2">
        <v>8448</v>
      </c>
      <c r="H115" s="2">
        <v>43</v>
      </c>
      <c r="I115" s="2">
        <v>117.38</v>
      </c>
    </row>
    <row r="116" spans="1:9" x14ac:dyDescent="0.25">
      <c r="A116" s="3" t="s">
        <v>5</v>
      </c>
      <c r="B116" s="2">
        <v>7064</v>
      </c>
      <c r="C116" s="2">
        <v>35</v>
      </c>
      <c r="D116" s="2">
        <v>55.79</v>
      </c>
      <c r="F116" s="4" t="s">
        <v>4</v>
      </c>
      <c r="G116" s="2">
        <v>8448</v>
      </c>
      <c r="H116" s="2">
        <v>43</v>
      </c>
      <c r="I116" s="2">
        <v>116.88</v>
      </c>
    </row>
    <row r="117" spans="1:9" x14ac:dyDescent="0.25">
      <c r="A117" s="3" t="s">
        <v>5</v>
      </c>
      <c r="B117" s="2">
        <v>7064</v>
      </c>
      <c r="C117" s="2">
        <v>35</v>
      </c>
      <c r="D117" s="2">
        <v>55.98</v>
      </c>
      <c r="F117" s="4" t="s">
        <v>4</v>
      </c>
      <c r="G117" s="2">
        <v>8448</v>
      </c>
      <c r="H117" s="2">
        <v>43</v>
      </c>
      <c r="I117" s="2">
        <v>117.13</v>
      </c>
    </row>
    <row r="118" spans="1:9" x14ac:dyDescent="0.25">
      <c r="A118" s="3" t="s">
        <v>5</v>
      </c>
      <c r="B118" s="2">
        <v>7064</v>
      </c>
      <c r="C118" s="2">
        <v>35</v>
      </c>
      <c r="D118" s="2">
        <v>55.81</v>
      </c>
      <c r="F118" s="4" t="s">
        <v>4</v>
      </c>
      <c r="G118" s="2">
        <v>8448</v>
      </c>
      <c r="H118" s="2">
        <v>44</v>
      </c>
      <c r="I118" s="2">
        <v>116.88</v>
      </c>
    </row>
    <row r="119" spans="1:9" x14ac:dyDescent="0.25">
      <c r="A119" s="3" t="s">
        <v>5</v>
      </c>
      <c r="B119" s="2">
        <v>7064</v>
      </c>
      <c r="C119" s="2">
        <v>35</v>
      </c>
      <c r="D119" s="2">
        <v>56.05</v>
      </c>
      <c r="F119" s="4" t="s">
        <v>4</v>
      </c>
      <c r="G119" s="2">
        <v>8448</v>
      </c>
      <c r="H119" s="2">
        <v>44</v>
      </c>
      <c r="I119" s="2">
        <v>117.13</v>
      </c>
    </row>
    <row r="120" spans="1:9" x14ac:dyDescent="0.25">
      <c r="A120" s="3" t="s">
        <v>5</v>
      </c>
      <c r="B120" s="2">
        <v>7064</v>
      </c>
      <c r="C120" s="2">
        <v>35</v>
      </c>
      <c r="D120" s="2">
        <v>56.16</v>
      </c>
      <c r="F120" s="4" t="s">
        <v>4</v>
      </c>
      <c r="G120" s="2">
        <v>8448</v>
      </c>
      <c r="H120" s="2">
        <v>44</v>
      </c>
      <c r="I120" s="2">
        <v>117.68</v>
      </c>
    </row>
    <row r="121" spans="1:9" x14ac:dyDescent="0.25">
      <c r="A121" s="3" t="s">
        <v>5</v>
      </c>
      <c r="B121" s="2">
        <v>7064</v>
      </c>
      <c r="C121" s="2">
        <v>34</v>
      </c>
      <c r="D121" s="2">
        <v>50.82</v>
      </c>
      <c r="F121" s="4" t="s">
        <v>4</v>
      </c>
      <c r="G121" s="2">
        <v>8448</v>
      </c>
      <c r="H121" s="2">
        <v>40</v>
      </c>
      <c r="I121" s="2">
        <v>102.78</v>
      </c>
    </row>
    <row r="122" spans="1:9" x14ac:dyDescent="0.25">
      <c r="A122" s="3" t="s">
        <v>5</v>
      </c>
      <c r="B122" s="2">
        <v>7064</v>
      </c>
      <c r="C122" s="2">
        <v>34</v>
      </c>
      <c r="D122" s="2">
        <v>41.19</v>
      </c>
      <c r="F122" s="4" t="s">
        <v>4</v>
      </c>
      <c r="G122" s="2">
        <v>8448</v>
      </c>
      <c r="H122" s="2">
        <v>39</v>
      </c>
      <c r="I122" s="2">
        <v>61.3</v>
      </c>
    </row>
    <row r="123" spans="1:9" x14ac:dyDescent="0.25">
      <c r="A123" s="3" t="s">
        <v>5</v>
      </c>
      <c r="B123" s="2">
        <v>7064</v>
      </c>
      <c r="C123" s="2">
        <v>34</v>
      </c>
      <c r="D123" s="2">
        <v>38.090000000000003</v>
      </c>
      <c r="F123" s="4" t="s">
        <v>4</v>
      </c>
      <c r="G123" s="2">
        <v>8448</v>
      </c>
      <c r="H123" s="2">
        <v>39</v>
      </c>
      <c r="I123" s="2">
        <v>50.33</v>
      </c>
    </row>
    <row r="124" spans="1:9" x14ac:dyDescent="0.25">
      <c r="A124" s="3" t="s">
        <v>5</v>
      </c>
      <c r="B124" s="2">
        <v>7064</v>
      </c>
      <c r="C124" s="2">
        <v>34</v>
      </c>
      <c r="D124" s="2">
        <v>38.1</v>
      </c>
      <c r="F124" s="4" t="s">
        <v>4</v>
      </c>
      <c r="G124" s="2">
        <v>8448</v>
      </c>
      <c r="H124" s="2">
        <v>38</v>
      </c>
      <c r="I124" s="2">
        <v>47.59</v>
      </c>
    </row>
    <row r="125" spans="1:9" x14ac:dyDescent="0.25">
      <c r="A125" s="3" t="s">
        <v>5</v>
      </c>
      <c r="B125" s="2">
        <v>7064</v>
      </c>
      <c r="C125" s="2">
        <v>34</v>
      </c>
      <c r="D125" s="2">
        <v>38.07</v>
      </c>
      <c r="F125" s="4" t="s">
        <v>4</v>
      </c>
      <c r="G125" s="2">
        <v>8448</v>
      </c>
      <c r="H125" s="2">
        <v>38</v>
      </c>
      <c r="I125" s="2">
        <v>44.88</v>
      </c>
    </row>
    <row r="126" spans="1:9" x14ac:dyDescent="0.25">
      <c r="A126" s="6" t="s">
        <v>9</v>
      </c>
      <c r="B126" s="2">
        <f>AVERAGE(B105:B125)</f>
        <v>7064</v>
      </c>
      <c r="C126" s="2">
        <f>AVERAGE(C105:C125)</f>
        <v>34.142857142857146</v>
      </c>
      <c r="D126" s="2">
        <f>AVERAGE(D105:D125)</f>
        <v>50.108095238095238</v>
      </c>
      <c r="F126" s="7" t="s">
        <v>9</v>
      </c>
      <c r="G126" s="2">
        <f>AVERAGE(G105:G125)</f>
        <v>8448</v>
      </c>
      <c r="H126" s="2">
        <f>AVERAGE(H105:H125)</f>
        <v>40.19047619047619</v>
      </c>
      <c r="I126" s="2">
        <f>AVERAGE(I105:I125)</f>
        <v>87.633809523809546</v>
      </c>
    </row>
    <row r="129" spans="1:9" x14ac:dyDescent="0.25">
      <c r="A129" s="5" t="s">
        <v>0</v>
      </c>
      <c r="B129" s="5" t="s">
        <v>1</v>
      </c>
      <c r="C129" s="5" t="s">
        <v>2</v>
      </c>
      <c r="D129" s="5" t="s">
        <v>3</v>
      </c>
      <c r="E129" s="1"/>
      <c r="F129" s="5" t="s">
        <v>0</v>
      </c>
      <c r="G129" s="5" t="s">
        <v>1</v>
      </c>
      <c r="H129" s="5" t="s">
        <v>2</v>
      </c>
      <c r="I129" s="5" t="s">
        <v>3</v>
      </c>
    </row>
    <row r="130" spans="1:9" x14ac:dyDescent="0.25">
      <c r="A130" s="5" t="s">
        <v>6</v>
      </c>
      <c r="B130" s="2">
        <f>AVERAGE(B4:B40)</f>
        <v>4199.8108108108108</v>
      </c>
      <c r="C130" s="2">
        <f>AVERAGE(C4:C40)</f>
        <v>32.270270270270274</v>
      </c>
      <c r="D130" s="2">
        <f>AVERAGE(D4:D40)</f>
        <v>46.403513513513516</v>
      </c>
      <c r="E130" s="1"/>
      <c r="F130" s="5" t="s">
        <v>6</v>
      </c>
      <c r="G130" s="2">
        <f>AVERAGE(G4:G40)</f>
        <v>5189.7837837837842</v>
      </c>
      <c r="H130" s="2">
        <f>AVERAGE(H4:H40)</f>
        <v>34.216216216216218</v>
      </c>
      <c r="I130" s="2">
        <f>AVERAGE(I4:I40)</f>
        <v>68.379189189189191</v>
      </c>
    </row>
    <row r="131" spans="1:9" x14ac:dyDescent="0.25">
      <c r="A131" s="5" t="s">
        <v>7</v>
      </c>
      <c r="B131" s="2">
        <f>AVERAGE(B53:B70)</f>
        <v>7064</v>
      </c>
      <c r="C131" s="2">
        <f>AVERAGE(C53:C70)</f>
        <v>35.111111111111114</v>
      </c>
      <c r="D131" s="2">
        <f>AVERAGE(D53:D70)</f>
        <v>53.43611111111111</v>
      </c>
      <c r="E131" s="1"/>
      <c r="F131" s="5" t="s">
        <v>7</v>
      </c>
      <c r="G131" s="2">
        <f>AVERAGE(G53:G70)</f>
        <v>8448</v>
      </c>
      <c r="H131" s="2">
        <f>AVERAGE(H53:H70)</f>
        <v>44.333333333333336</v>
      </c>
      <c r="I131" s="2">
        <f>AVERAGE(I53:I70)</f>
        <v>98.391111111111115</v>
      </c>
    </row>
    <row r="132" spans="1:9" x14ac:dyDescent="0.25">
      <c r="A132" s="5" t="s">
        <v>8</v>
      </c>
      <c r="B132" s="2">
        <f>AVERAGE(B53:B70)</f>
        <v>7064</v>
      </c>
      <c r="C132" s="2">
        <f>AVERAGE(C105:C125)</f>
        <v>34.142857142857146</v>
      </c>
      <c r="D132" s="2">
        <f>AVERAGE(D105:D125)</f>
        <v>50.108095238095238</v>
      </c>
      <c r="E132" s="1"/>
      <c r="F132" s="5" t="s">
        <v>8</v>
      </c>
      <c r="G132" s="2">
        <f>AVERAGE(G53:G70)</f>
        <v>8448</v>
      </c>
      <c r="H132" s="2">
        <f>AVERAGE(H105:H125)</f>
        <v>40.19047619047619</v>
      </c>
      <c r="I132" s="2">
        <f>AVERAGE(I105:I125)</f>
        <v>87.633809523809546</v>
      </c>
    </row>
    <row r="133" spans="1:9" x14ac:dyDescent="0.25">
      <c r="A133" s="5" t="s">
        <v>9</v>
      </c>
      <c r="B133" s="8">
        <f>AVERAGE(B130:B132)</f>
        <v>6109.27027027027</v>
      </c>
      <c r="C133" s="8">
        <f>AVERAGE(C130:C132)</f>
        <v>33.841412841412847</v>
      </c>
      <c r="D133" s="8">
        <f>AVERAGE(D130:D132)</f>
        <v>49.982573287573295</v>
      </c>
      <c r="E133" s="9"/>
      <c r="F133" s="10" t="s">
        <v>9</v>
      </c>
      <c r="G133" s="8">
        <f>AVERAGE(G130:G132)</f>
        <v>7361.9279279279281</v>
      </c>
      <c r="H133" s="8">
        <f>AVERAGE(H130:H132)</f>
        <v>39.580008580008581</v>
      </c>
      <c r="I133" s="8">
        <f>AVERAGE(I130:I132)</f>
        <v>84.801369941369956</v>
      </c>
    </row>
  </sheetData>
  <sortState xmlns:xlrd2="http://schemas.microsoft.com/office/spreadsheetml/2017/richdata2" ref="A123:D164">
    <sortCondition descending="1" ref="A123:A16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ninemost_NINE_1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 davies</cp:lastModifiedBy>
  <dcterms:created xsi:type="dcterms:W3CDTF">2026-10-10T01:55:56Z</dcterms:created>
  <dcterms:modified xsi:type="dcterms:W3CDTF">2026-10-17T01:58:00Z</dcterms:modified>
</cp:coreProperties>
</file>