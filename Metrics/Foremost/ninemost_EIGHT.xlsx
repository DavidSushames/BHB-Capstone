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\Desktop\2026 Y3 BIT\trimester2\Capstone\BHB-Capstone\Metrics\Foremost\"/>
    </mc:Choice>
  </mc:AlternateContent>
  <xr:revisionPtr revIDLastSave="0" documentId="13_ncr:1_{5D54054E-D85D-40BA-83BE-0280C2EA2CE1}" xr6:coauthVersionLast="47" xr6:coauthVersionMax="47" xr10:uidLastSave="{00000000-0000-0000-0000-000000000000}"/>
  <bookViews>
    <workbookView xWindow="-120" yWindow="-120" windowWidth="29040" windowHeight="15720" xr2:uid="{F5736CFC-DD2F-499C-8F1A-ED767B8B45E4}"/>
  </bookViews>
  <sheets>
    <sheet name="ninemost_EIGHT_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3" i="1" l="1"/>
  <c r="H133" i="1"/>
  <c r="I132" i="1"/>
  <c r="H132" i="1"/>
  <c r="I131" i="1"/>
  <c r="H131" i="1"/>
  <c r="H134" i="1" s="1"/>
  <c r="D133" i="1"/>
  <c r="D134" i="1" s="1"/>
  <c r="D132" i="1"/>
  <c r="D131" i="1"/>
  <c r="C133" i="1"/>
  <c r="C132" i="1"/>
  <c r="C134" i="1" s="1"/>
  <c r="C131" i="1"/>
  <c r="I126" i="1"/>
  <c r="H126" i="1"/>
  <c r="G126" i="1"/>
  <c r="D126" i="1"/>
  <c r="C126" i="1"/>
  <c r="B126" i="1"/>
  <c r="B131" i="1" s="1"/>
  <c r="B75" i="1"/>
  <c r="C75" i="1"/>
  <c r="D75" i="1"/>
  <c r="G75" i="1"/>
  <c r="H75" i="1"/>
  <c r="I75" i="1"/>
  <c r="I18" i="1"/>
  <c r="H18" i="1"/>
  <c r="G18" i="1"/>
  <c r="D18" i="1"/>
  <c r="C18" i="1"/>
  <c r="B18" i="1"/>
  <c r="B132" i="1" l="1"/>
  <c r="I134" i="1"/>
  <c r="G131" i="1"/>
  <c r="B133" i="1" l="1"/>
  <c r="B134" i="1" s="1"/>
  <c r="G132" i="1"/>
  <c r="G133" i="1" l="1"/>
  <c r="G134" i="1"/>
</calcChain>
</file>

<file path=xl/sharedStrings.xml><?xml version="1.0" encoding="utf-8"?>
<sst xmlns="http://schemas.openxmlformats.org/spreadsheetml/2006/main" count="151" uniqueCount="10">
  <si>
    <t>name</t>
  </si>
  <si>
    <t xml:space="preserve"> memory.used [MiB]</t>
  </si>
  <si>
    <t xml:space="preserve"> temperature.gpu</t>
  </si>
  <si>
    <t xml:space="preserve"> power.draw [W]</t>
  </si>
  <si>
    <t>NVIDIA GeForce RTX 3060</t>
  </si>
  <si>
    <t>NVIDIA GeForce RTX 3070</t>
  </si>
  <si>
    <t>ninemost_EIGHT_1.csv</t>
  </si>
  <si>
    <t>ninemost_EIGHT_2.csv</t>
  </si>
  <si>
    <t>ninemost_EIGHT_3.csv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</si>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</sst>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0" fillId="0" borderId="11" xfId="0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34" borderId="11" xfId="0" applyFill="1" applyBorder="1" applyAlignment="1">
      <alignment horizontal="center"/>
    </xf>
    <xf numFmtId="0" fontId="0" fillId="35" borderId="11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0" fontId="16" fillId="33" borderId="11" xfId="0" applyFont="1" applyFill="1" applyBorder="1"/>
    <xf numFmtId="0" fontId="16" fillId="33" borderId="13" xfId="0" applyFont="1" applyFill="1" applyBorder="1" applyAlignment="1">
      <alignment horizontal="center"/>
    </xf>
    <xf numFmtId="0" fontId="16" fillId="34" borderId="11" xfId="0" applyFont="1" applyFill="1" applyBorder="1" applyAlignment="1">
      <alignment horizontal="center"/>
    </xf>
    <xf numFmtId="0" fontId="16" fillId="35" borderId="11" xfId="0" applyFont="1" applyFill="1" applyBorder="1" applyAlignment="1">
      <alignment horizontal="center"/>
    </xf>
    <xf numFmtId="0" fontId="16" fillId="33" borderId="13" xfId="0" applyFont="1" applyFill="1" applyBorder="1"/>
    <xf numFmtId="2" fontId="0" fillId="0" borderId="11" xfId="0" applyNumberFormat="1" applyBorder="1" applyAlignment="1">
      <alignment horizontal="center"/>
    </xf>
    <xf numFmtId="2" fontId="0" fillId="0" borderId="0" xfId="0" applyNumberFormat="1"/>
    <xf numFmtId="2" fontId="16" fillId="33" borderId="11" xfId="0" applyNumberFormat="1" applyFont="1" applyFill="1" applyBorder="1" applyAlignment="1">
      <alignment horizontal="center"/>
    </xf>
    <xf numFmtId="0" fontId="0" fillId="0" borderId="0" xfId="0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ninemost_EIGHT_1!$B$3</c:f>
              <c:strCache>
                <c:ptCount val="1"/>
                <c:pt idx="0">
                  <c:v> memory.used [MiB]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ninemost_EIGHT_1!$B$4:$B$17</c:f>
              <c:numCache>
                <c:formatCode>General</c:formatCode>
                <c:ptCount val="14"/>
                <c:pt idx="0">
                  <c:v>7064</c:v>
                </c:pt>
                <c:pt idx="1">
                  <c:v>7064</c:v>
                </c:pt>
                <c:pt idx="2">
                  <c:v>7064</c:v>
                </c:pt>
                <c:pt idx="3">
                  <c:v>7064</c:v>
                </c:pt>
                <c:pt idx="4">
                  <c:v>7064</c:v>
                </c:pt>
                <c:pt idx="5">
                  <c:v>7064</c:v>
                </c:pt>
                <c:pt idx="6">
                  <c:v>7064</c:v>
                </c:pt>
                <c:pt idx="7">
                  <c:v>7064</c:v>
                </c:pt>
                <c:pt idx="8">
                  <c:v>7064</c:v>
                </c:pt>
                <c:pt idx="9">
                  <c:v>7064</c:v>
                </c:pt>
                <c:pt idx="10">
                  <c:v>7064</c:v>
                </c:pt>
                <c:pt idx="11">
                  <c:v>7064</c:v>
                </c:pt>
                <c:pt idx="12">
                  <c:v>7064</c:v>
                </c:pt>
                <c:pt idx="13">
                  <c:v>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0D-4A34-9153-B84858ABD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9915328"/>
        <c:axId val="1384655888"/>
      </c:lineChart>
      <c:catAx>
        <c:axId val="1559915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55888"/>
        <c:crosses val="autoZero"/>
        <c:auto val="1"/>
        <c:lblAlgn val="ctr"/>
        <c:lblOffset val="100"/>
        <c:noMultiLvlLbl val="0"/>
      </c:catAx>
      <c:valAx>
        <c:axId val="13846558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Memory.Used[MiB]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91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ninemost_EIGHT_1!$C$3</c:f>
              <c:strCache>
                <c:ptCount val="1"/>
                <c:pt idx="0">
                  <c:v> temperature.gpu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ninemost_EIGHT_1!$C$4:$C$17</c:f>
              <c:numCache>
                <c:formatCode>General</c:formatCode>
                <c:ptCount val="14"/>
                <c:pt idx="0">
                  <c:v>28</c:v>
                </c:pt>
                <c:pt idx="1">
                  <c:v>30</c:v>
                </c:pt>
                <c:pt idx="2">
                  <c:v>29</c:v>
                </c:pt>
                <c:pt idx="3">
                  <c:v>29</c:v>
                </c:pt>
                <c:pt idx="4">
                  <c:v>30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  <c:pt idx="12">
                  <c:v>30</c:v>
                </c:pt>
                <c:pt idx="13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B5-4D45-8E79-64BEB97E7BC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44627520"/>
        <c:axId val="1384619408"/>
      </c:lineChart>
      <c:catAx>
        <c:axId val="1544627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19408"/>
        <c:crosses val="autoZero"/>
        <c:auto val="1"/>
        <c:lblAlgn val="ctr"/>
        <c:lblOffset val="100"/>
        <c:noMultiLvlLbl val="0"/>
      </c:catAx>
      <c:valAx>
        <c:axId val="138461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TEmperature</a:t>
                </a:r>
                <a:r>
                  <a:rPr lang="en-NZ" baseline="0"/>
                  <a:t> (C)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62752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ninemost_EIGHT_1!$D$3</c:f>
              <c:strCache>
                <c:ptCount val="1"/>
                <c:pt idx="0">
                  <c:v> power.draw 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ninemost_EIGHT_1!$D$4:$D$17</c:f>
              <c:numCache>
                <c:formatCode>General</c:formatCode>
                <c:ptCount val="14"/>
                <c:pt idx="0">
                  <c:v>43.02</c:v>
                </c:pt>
                <c:pt idx="1">
                  <c:v>69.959999999999994</c:v>
                </c:pt>
                <c:pt idx="2">
                  <c:v>67.650000000000006</c:v>
                </c:pt>
                <c:pt idx="3">
                  <c:v>54.93</c:v>
                </c:pt>
                <c:pt idx="4">
                  <c:v>54.81</c:v>
                </c:pt>
                <c:pt idx="5">
                  <c:v>54.79</c:v>
                </c:pt>
                <c:pt idx="6">
                  <c:v>54.78</c:v>
                </c:pt>
                <c:pt idx="7">
                  <c:v>54.84</c:v>
                </c:pt>
                <c:pt idx="8">
                  <c:v>54.87</c:v>
                </c:pt>
                <c:pt idx="9">
                  <c:v>54.72</c:v>
                </c:pt>
                <c:pt idx="10">
                  <c:v>54.66</c:v>
                </c:pt>
                <c:pt idx="11">
                  <c:v>54.87</c:v>
                </c:pt>
                <c:pt idx="12">
                  <c:v>48.47</c:v>
                </c:pt>
                <c:pt idx="13">
                  <c:v>40.53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F0-4D65-A69B-7F4531B66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4565344"/>
        <c:axId val="1226792752"/>
      </c:lineChart>
      <c:catAx>
        <c:axId val="1544565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92752"/>
        <c:crosses val="autoZero"/>
        <c:auto val="1"/>
        <c:lblAlgn val="ctr"/>
        <c:lblOffset val="100"/>
        <c:noMultiLvlLbl val="0"/>
      </c:catAx>
      <c:valAx>
        <c:axId val="12267927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Power.Draw</a:t>
                </a:r>
                <a:r>
                  <a:rPr lang="en-NZ" baseline="0"/>
                  <a:t> (W)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5653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ninemost_EIGHT_1!$G$3</c:f>
              <c:strCache>
                <c:ptCount val="1"/>
                <c:pt idx="0">
                  <c:v> memory.used [MiB]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ninemost_EIGHT_1!$G$4:$G$17</c:f>
              <c:numCache>
                <c:formatCode>General</c:formatCode>
                <c:ptCount val="14"/>
                <c:pt idx="0">
                  <c:v>8448</c:v>
                </c:pt>
                <c:pt idx="1">
                  <c:v>8448</c:v>
                </c:pt>
                <c:pt idx="2">
                  <c:v>8448</c:v>
                </c:pt>
                <c:pt idx="3">
                  <c:v>8448</c:v>
                </c:pt>
                <c:pt idx="4">
                  <c:v>8448</c:v>
                </c:pt>
                <c:pt idx="5">
                  <c:v>8448</c:v>
                </c:pt>
                <c:pt idx="6">
                  <c:v>8448</c:v>
                </c:pt>
                <c:pt idx="7">
                  <c:v>8448</c:v>
                </c:pt>
                <c:pt idx="8">
                  <c:v>8448</c:v>
                </c:pt>
                <c:pt idx="9">
                  <c:v>8448</c:v>
                </c:pt>
                <c:pt idx="10">
                  <c:v>8448</c:v>
                </c:pt>
                <c:pt idx="11">
                  <c:v>8448</c:v>
                </c:pt>
                <c:pt idx="12">
                  <c:v>8448</c:v>
                </c:pt>
                <c:pt idx="13">
                  <c:v>8448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10-464E-BC89-F5CB3DEEF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9915328"/>
        <c:axId val="1384655888"/>
      </c:lineChart>
      <c:catAx>
        <c:axId val="1559915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55888"/>
        <c:crosses val="autoZero"/>
        <c:auto val="1"/>
        <c:lblAlgn val="ctr"/>
        <c:lblOffset val="100"/>
        <c:noMultiLvlLbl val="0"/>
      </c:catAx>
      <c:valAx>
        <c:axId val="13846558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Memory.Used[MiB]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91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ninemost_EIGHT_1!$H$3</c:f>
              <c:strCache>
                <c:ptCount val="1"/>
                <c:pt idx="0">
                  <c:v> temperature.gpu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ninemost_EIGHT_1!$H$4:$H$17</c:f>
              <c:numCache>
                <c:formatCode>General</c:formatCode>
                <c:ptCount val="14"/>
                <c:pt idx="0">
                  <c:v>35</c:v>
                </c:pt>
                <c:pt idx="1">
                  <c:v>39</c:v>
                </c:pt>
                <c:pt idx="2">
                  <c:v>40</c:v>
                </c:pt>
                <c:pt idx="3">
                  <c:v>40</c:v>
                </c:pt>
                <c:pt idx="4">
                  <c:v>41</c:v>
                </c:pt>
                <c:pt idx="5">
                  <c:v>41</c:v>
                </c:pt>
                <c:pt idx="6">
                  <c:v>41</c:v>
                </c:pt>
                <c:pt idx="7">
                  <c:v>42</c:v>
                </c:pt>
                <c:pt idx="8">
                  <c:v>42</c:v>
                </c:pt>
                <c:pt idx="9">
                  <c:v>42</c:v>
                </c:pt>
                <c:pt idx="10">
                  <c:v>42</c:v>
                </c:pt>
                <c:pt idx="11">
                  <c:v>43</c:v>
                </c:pt>
                <c:pt idx="12">
                  <c:v>38</c:v>
                </c:pt>
                <c:pt idx="13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A6-44E7-A0BF-264C2D44EDC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44627520"/>
        <c:axId val="1384619408"/>
      </c:lineChart>
      <c:catAx>
        <c:axId val="1544627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19408"/>
        <c:crosses val="autoZero"/>
        <c:auto val="1"/>
        <c:lblAlgn val="ctr"/>
        <c:lblOffset val="100"/>
        <c:noMultiLvlLbl val="0"/>
      </c:catAx>
      <c:valAx>
        <c:axId val="138461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TEmperature</a:t>
                </a:r>
                <a:r>
                  <a:rPr lang="en-NZ" baseline="0"/>
                  <a:t> (C)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62752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ninemost_EIGHT_1!$I$3</c:f>
              <c:strCache>
                <c:ptCount val="1"/>
                <c:pt idx="0">
                  <c:v> power.draw 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ninemost_EIGHT_1!$I$4:$I$17</c:f>
              <c:numCache>
                <c:formatCode>General</c:formatCode>
                <c:ptCount val="14"/>
                <c:pt idx="0">
                  <c:v>50.69</c:v>
                </c:pt>
                <c:pt idx="1">
                  <c:v>107.43</c:v>
                </c:pt>
                <c:pt idx="2">
                  <c:v>117.47</c:v>
                </c:pt>
                <c:pt idx="3">
                  <c:v>117.15</c:v>
                </c:pt>
                <c:pt idx="4">
                  <c:v>117.38</c:v>
                </c:pt>
                <c:pt idx="5">
                  <c:v>117.25</c:v>
                </c:pt>
                <c:pt idx="6">
                  <c:v>117.6</c:v>
                </c:pt>
                <c:pt idx="7">
                  <c:v>117.17</c:v>
                </c:pt>
                <c:pt idx="8">
                  <c:v>117.45</c:v>
                </c:pt>
                <c:pt idx="9">
                  <c:v>117.46</c:v>
                </c:pt>
                <c:pt idx="10">
                  <c:v>117</c:v>
                </c:pt>
                <c:pt idx="11">
                  <c:v>117.76</c:v>
                </c:pt>
                <c:pt idx="12">
                  <c:v>97.75</c:v>
                </c:pt>
                <c:pt idx="13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4B-4196-A4B3-E4BF84EC3E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4565344"/>
        <c:axId val="1226792752"/>
      </c:lineChart>
      <c:catAx>
        <c:axId val="1544565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92752"/>
        <c:crosses val="autoZero"/>
        <c:auto val="1"/>
        <c:lblAlgn val="ctr"/>
        <c:lblOffset val="100"/>
        <c:noMultiLvlLbl val="0"/>
      </c:catAx>
      <c:valAx>
        <c:axId val="12267927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Power.Draw</a:t>
                </a:r>
                <a:r>
                  <a:rPr lang="en-NZ" baseline="0"/>
                  <a:t> (W)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5653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ninemost_EIGHT_1!$B$56</c:f>
              <c:strCache>
                <c:ptCount val="1"/>
                <c:pt idx="0">
                  <c:v> memory.used [MiB]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ninemost_EIGHT_1!$B$57:$B$74</c:f>
              <c:numCache>
                <c:formatCode>General</c:formatCode>
                <c:ptCount val="18"/>
                <c:pt idx="0">
                  <c:v>7064</c:v>
                </c:pt>
                <c:pt idx="1">
                  <c:v>7064</c:v>
                </c:pt>
                <c:pt idx="2">
                  <c:v>7064</c:v>
                </c:pt>
                <c:pt idx="3">
                  <c:v>7064</c:v>
                </c:pt>
                <c:pt idx="4">
                  <c:v>7064</c:v>
                </c:pt>
                <c:pt idx="5">
                  <c:v>7064</c:v>
                </c:pt>
                <c:pt idx="6">
                  <c:v>7064</c:v>
                </c:pt>
                <c:pt idx="7">
                  <c:v>7064</c:v>
                </c:pt>
                <c:pt idx="8">
                  <c:v>7064</c:v>
                </c:pt>
                <c:pt idx="9">
                  <c:v>7064</c:v>
                </c:pt>
                <c:pt idx="10">
                  <c:v>7064</c:v>
                </c:pt>
                <c:pt idx="11">
                  <c:v>7064</c:v>
                </c:pt>
                <c:pt idx="12">
                  <c:v>7064</c:v>
                </c:pt>
                <c:pt idx="13">
                  <c:v>7064</c:v>
                </c:pt>
                <c:pt idx="14">
                  <c:v>7064</c:v>
                </c:pt>
                <c:pt idx="15">
                  <c:v>7064</c:v>
                </c:pt>
                <c:pt idx="16">
                  <c:v>7064</c:v>
                </c:pt>
                <c:pt idx="17">
                  <c:v>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73-4ACE-B762-C8F487ED07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9915328"/>
        <c:axId val="1384655888"/>
      </c:lineChart>
      <c:catAx>
        <c:axId val="1559915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55888"/>
        <c:crosses val="autoZero"/>
        <c:auto val="1"/>
        <c:lblAlgn val="ctr"/>
        <c:lblOffset val="100"/>
        <c:noMultiLvlLbl val="0"/>
      </c:catAx>
      <c:valAx>
        <c:axId val="13846558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Memory.Used[MiB]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91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ninemost_EIGHT_1!$C$56</c:f>
              <c:strCache>
                <c:ptCount val="1"/>
                <c:pt idx="0">
                  <c:v> temperature.gpu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ninemost_EIGHT_1!$C$57:$C$74</c:f>
              <c:numCache>
                <c:formatCode>General</c:formatCode>
                <c:ptCount val="18"/>
                <c:pt idx="0">
                  <c:v>26</c:v>
                </c:pt>
                <c:pt idx="1">
                  <c:v>26</c:v>
                </c:pt>
                <c:pt idx="2">
                  <c:v>27</c:v>
                </c:pt>
                <c:pt idx="3">
                  <c:v>29</c:v>
                </c:pt>
                <c:pt idx="4">
                  <c:v>30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31</c:v>
                </c:pt>
                <c:pt idx="12">
                  <c:v>31</c:v>
                </c:pt>
                <c:pt idx="13">
                  <c:v>31</c:v>
                </c:pt>
                <c:pt idx="14">
                  <c:v>31</c:v>
                </c:pt>
                <c:pt idx="15">
                  <c:v>31</c:v>
                </c:pt>
                <c:pt idx="16">
                  <c:v>31</c:v>
                </c:pt>
                <c:pt idx="17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84-440C-93AD-5620FA40601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44627520"/>
        <c:axId val="1384619408"/>
      </c:lineChart>
      <c:catAx>
        <c:axId val="1544627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19408"/>
        <c:crosses val="autoZero"/>
        <c:auto val="1"/>
        <c:lblAlgn val="ctr"/>
        <c:lblOffset val="100"/>
        <c:noMultiLvlLbl val="0"/>
      </c:catAx>
      <c:valAx>
        <c:axId val="138461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TEmperature</a:t>
                </a:r>
                <a:r>
                  <a:rPr lang="en-NZ" baseline="0"/>
                  <a:t> (C)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62752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ninemost_EIGHT_1!$D$56</c:f>
              <c:strCache>
                <c:ptCount val="1"/>
                <c:pt idx="0">
                  <c:v> power.draw 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ninemost_EIGHT_1!$D$57:$D$74</c:f>
              <c:numCache>
                <c:formatCode>General</c:formatCode>
                <c:ptCount val="18"/>
                <c:pt idx="0">
                  <c:v>14.11</c:v>
                </c:pt>
                <c:pt idx="1">
                  <c:v>14.14</c:v>
                </c:pt>
                <c:pt idx="2">
                  <c:v>14.49</c:v>
                </c:pt>
                <c:pt idx="3">
                  <c:v>58.06</c:v>
                </c:pt>
                <c:pt idx="4">
                  <c:v>70.849999999999994</c:v>
                </c:pt>
                <c:pt idx="5">
                  <c:v>67.69</c:v>
                </c:pt>
                <c:pt idx="6">
                  <c:v>55</c:v>
                </c:pt>
                <c:pt idx="7">
                  <c:v>54.9</c:v>
                </c:pt>
                <c:pt idx="8">
                  <c:v>54.77</c:v>
                </c:pt>
                <c:pt idx="9">
                  <c:v>54.82</c:v>
                </c:pt>
                <c:pt idx="10">
                  <c:v>54.86</c:v>
                </c:pt>
                <c:pt idx="11">
                  <c:v>55.11</c:v>
                </c:pt>
                <c:pt idx="12">
                  <c:v>55.01</c:v>
                </c:pt>
                <c:pt idx="13">
                  <c:v>55.18</c:v>
                </c:pt>
                <c:pt idx="14">
                  <c:v>55.43</c:v>
                </c:pt>
                <c:pt idx="15">
                  <c:v>55.22</c:v>
                </c:pt>
                <c:pt idx="16">
                  <c:v>55.24</c:v>
                </c:pt>
                <c:pt idx="17">
                  <c:v>43.37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F5-40F0-8690-304FB1C83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4565344"/>
        <c:axId val="1226792752"/>
      </c:lineChart>
      <c:catAx>
        <c:axId val="1544565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92752"/>
        <c:crosses val="autoZero"/>
        <c:auto val="1"/>
        <c:lblAlgn val="ctr"/>
        <c:lblOffset val="100"/>
        <c:noMultiLvlLbl val="0"/>
      </c:catAx>
      <c:valAx>
        <c:axId val="12267927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Power.Draw</a:t>
                </a:r>
                <a:r>
                  <a:rPr lang="en-NZ" baseline="0"/>
                  <a:t> (W)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5653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ninemost_EIGHT_1!$G$56</c:f>
              <c:strCache>
                <c:ptCount val="1"/>
                <c:pt idx="0">
                  <c:v> memory.used [MiB]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ninemost_EIGHT_1!$G$57:$G$74</c:f>
              <c:numCache>
                <c:formatCode>General</c:formatCode>
                <c:ptCount val="18"/>
                <c:pt idx="0">
                  <c:v>8448</c:v>
                </c:pt>
                <c:pt idx="1">
                  <c:v>8448</c:v>
                </c:pt>
                <c:pt idx="2">
                  <c:v>8448</c:v>
                </c:pt>
                <c:pt idx="3">
                  <c:v>8448</c:v>
                </c:pt>
                <c:pt idx="4">
                  <c:v>8448</c:v>
                </c:pt>
                <c:pt idx="5">
                  <c:v>8448</c:v>
                </c:pt>
                <c:pt idx="6">
                  <c:v>8448</c:v>
                </c:pt>
                <c:pt idx="7">
                  <c:v>8448</c:v>
                </c:pt>
                <c:pt idx="8">
                  <c:v>8448</c:v>
                </c:pt>
                <c:pt idx="9">
                  <c:v>8448</c:v>
                </c:pt>
                <c:pt idx="10">
                  <c:v>8448</c:v>
                </c:pt>
                <c:pt idx="11">
                  <c:v>8448</c:v>
                </c:pt>
                <c:pt idx="12">
                  <c:v>8448</c:v>
                </c:pt>
                <c:pt idx="13">
                  <c:v>8448</c:v>
                </c:pt>
                <c:pt idx="14">
                  <c:v>8448</c:v>
                </c:pt>
                <c:pt idx="15">
                  <c:v>8448</c:v>
                </c:pt>
                <c:pt idx="16">
                  <c:v>8448</c:v>
                </c:pt>
                <c:pt idx="17">
                  <c:v>8448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37-467F-8CFF-B674FE58E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9915328"/>
        <c:axId val="1384655888"/>
      </c:lineChart>
      <c:catAx>
        <c:axId val="1559915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55888"/>
        <c:crosses val="autoZero"/>
        <c:auto val="1"/>
        <c:lblAlgn val="ctr"/>
        <c:lblOffset val="100"/>
        <c:noMultiLvlLbl val="0"/>
      </c:catAx>
      <c:valAx>
        <c:axId val="13846558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Memory.Used[MiB]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91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ninemost_EIGHT_1!$H$56</c:f>
              <c:strCache>
                <c:ptCount val="1"/>
                <c:pt idx="0">
                  <c:v> temperature.gpu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ninemost_EIGHT_1!$H$57:$H$74</c:f>
              <c:numCache>
                <c:formatCode>General</c:formatCode>
                <c:ptCount val="18"/>
                <c:pt idx="0">
                  <c:v>33</c:v>
                </c:pt>
                <c:pt idx="1">
                  <c:v>33</c:v>
                </c:pt>
                <c:pt idx="2">
                  <c:v>34</c:v>
                </c:pt>
                <c:pt idx="3">
                  <c:v>38</c:v>
                </c:pt>
                <c:pt idx="4">
                  <c:v>40</c:v>
                </c:pt>
                <c:pt idx="5">
                  <c:v>41</c:v>
                </c:pt>
                <c:pt idx="6">
                  <c:v>41</c:v>
                </c:pt>
                <c:pt idx="7">
                  <c:v>42</c:v>
                </c:pt>
                <c:pt idx="8">
                  <c:v>42</c:v>
                </c:pt>
                <c:pt idx="9">
                  <c:v>42</c:v>
                </c:pt>
                <c:pt idx="10">
                  <c:v>43</c:v>
                </c:pt>
                <c:pt idx="11">
                  <c:v>43</c:v>
                </c:pt>
                <c:pt idx="12">
                  <c:v>43</c:v>
                </c:pt>
                <c:pt idx="13">
                  <c:v>44</c:v>
                </c:pt>
                <c:pt idx="14">
                  <c:v>44</c:v>
                </c:pt>
                <c:pt idx="15">
                  <c:v>44</c:v>
                </c:pt>
                <c:pt idx="16">
                  <c:v>44</c:v>
                </c:pt>
                <c:pt idx="17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93-4AF7-913E-6926BBD16B5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44627520"/>
        <c:axId val="1384619408"/>
      </c:lineChart>
      <c:catAx>
        <c:axId val="1544627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19408"/>
        <c:crosses val="autoZero"/>
        <c:auto val="1"/>
        <c:lblAlgn val="ctr"/>
        <c:lblOffset val="100"/>
        <c:noMultiLvlLbl val="0"/>
      </c:catAx>
      <c:valAx>
        <c:axId val="138461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TEmperature</a:t>
                </a:r>
                <a:r>
                  <a:rPr lang="en-NZ" baseline="0"/>
                  <a:t> (C)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62752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ninemost_EIGHT_1!$I$56</c:f>
              <c:strCache>
                <c:ptCount val="1"/>
                <c:pt idx="0">
                  <c:v> power.draw 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ninemost_EIGHT_1!$I$57:$I$74</c:f>
              <c:numCache>
                <c:formatCode>General</c:formatCode>
                <c:ptCount val="18"/>
                <c:pt idx="0">
                  <c:v>21.58</c:v>
                </c:pt>
                <c:pt idx="1">
                  <c:v>21.55</c:v>
                </c:pt>
                <c:pt idx="2">
                  <c:v>22.53</c:v>
                </c:pt>
                <c:pt idx="3">
                  <c:v>70.13</c:v>
                </c:pt>
                <c:pt idx="4">
                  <c:v>116.62</c:v>
                </c:pt>
                <c:pt idx="5">
                  <c:v>117.63</c:v>
                </c:pt>
                <c:pt idx="6">
                  <c:v>117.68</c:v>
                </c:pt>
                <c:pt idx="7">
                  <c:v>117.79</c:v>
                </c:pt>
                <c:pt idx="8">
                  <c:v>117.64</c:v>
                </c:pt>
                <c:pt idx="9">
                  <c:v>118.17</c:v>
                </c:pt>
                <c:pt idx="10">
                  <c:v>118.22</c:v>
                </c:pt>
                <c:pt idx="11">
                  <c:v>118.44</c:v>
                </c:pt>
                <c:pt idx="12">
                  <c:v>118.31</c:v>
                </c:pt>
                <c:pt idx="13">
                  <c:v>118.73</c:v>
                </c:pt>
                <c:pt idx="14">
                  <c:v>118.5</c:v>
                </c:pt>
                <c:pt idx="15">
                  <c:v>118.27</c:v>
                </c:pt>
                <c:pt idx="16">
                  <c:v>117.68</c:v>
                </c:pt>
                <c:pt idx="17">
                  <c:v>71.88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6D-4E95-8B1F-9B4ACE8A42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4565344"/>
        <c:axId val="1226792752"/>
      </c:lineChart>
      <c:catAx>
        <c:axId val="1544565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92752"/>
        <c:crosses val="autoZero"/>
        <c:auto val="1"/>
        <c:lblAlgn val="ctr"/>
        <c:lblOffset val="100"/>
        <c:noMultiLvlLbl val="0"/>
      </c:catAx>
      <c:valAx>
        <c:axId val="12267927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Power.Draw</a:t>
                </a:r>
                <a:r>
                  <a:rPr lang="en-NZ" baseline="0"/>
                  <a:t> (W)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5653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ninemost_EIGHT_1!$B$56</c:f>
              <c:strCache>
                <c:ptCount val="1"/>
                <c:pt idx="0">
                  <c:v> memory.used [MiB]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ninemost_EIGHT_1!$B$107:$B$125</c:f>
              <c:numCache>
                <c:formatCode>General</c:formatCode>
                <c:ptCount val="19"/>
                <c:pt idx="0">
                  <c:v>7064</c:v>
                </c:pt>
                <c:pt idx="1">
                  <c:v>7064</c:v>
                </c:pt>
                <c:pt idx="2">
                  <c:v>7064</c:v>
                </c:pt>
                <c:pt idx="3">
                  <c:v>7064</c:v>
                </c:pt>
                <c:pt idx="4">
                  <c:v>7064</c:v>
                </c:pt>
                <c:pt idx="5">
                  <c:v>7064</c:v>
                </c:pt>
                <c:pt idx="6">
                  <c:v>7064</c:v>
                </c:pt>
                <c:pt idx="7">
                  <c:v>7064</c:v>
                </c:pt>
                <c:pt idx="8">
                  <c:v>7064</c:v>
                </c:pt>
                <c:pt idx="9">
                  <c:v>7064</c:v>
                </c:pt>
                <c:pt idx="10">
                  <c:v>7064</c:v>
                </c:pt>
                <c:pt idx="11">
                  <c:v>7064</c:v>
                </c:pt>
                <c:pt idx="12">
                  <c:v>7064</c:v>
                </c:pt>
                <c:pt idx="13">
                  <c:v>7064</c:v>
                </c:pt>
                <c:pt idx="14">
                  <c:v>7064</c:v>
                </c:pt>
                <c:pt idx="15">
                  <c:v>7064</c:v>
                </c:pt>
                <c:pt idx="16">
                  <c:v>7064</c:v>
                </c:pt>
                <c:pt idx="17">
                  <c:v>7064</c:v>
                </c:pt>
                <c:pt idx="18">
                  <c:v>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F5-4EB6-9E3E-D559155704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9915328"/>
        <c:axId val="1384655888"/>
      </c:lineChart>
      <c:catAx>
        <c:axId val="1559915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55888"/>
        <c:crosses val="autoZero"/>
        <c:auto val="1"/>
        <c:lblAlgn val="ctr"/>
        <c:lblOffset val="100"/>
        <c:noMultiLvlLbl val="0"/>
      </c:catAx>
      <c:valAx>
        <c:axId val="13846558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Memory.Used[MiB]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91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ninemost_EIGHT_1!$C$56</c:f>
              <c:strCache>
                <c:ptCount val="1"/>
                <c:pt idx="0">
                  <c:v> temperature.gpu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ninemost_EIGHT_1!$C$107:$C$125</c:f>
              <c:numCache>
                <c:formatCode>General</c:formatCode>
                <c:ptCount val="19"/>
                <c:pt idx="0">
                  <c:v>27</c:v>
                </c:pt>
                <c:pt idx="1">
                  <c:v>28</c:v>
                </c:pt>
                <c:pt idx="2">
                  <c:v>30</c:v>
                </c:pt>
                <c:pt idx="3">
                  <c:v>31</c:v>
                </c:pt>
                <c:pt idx="4">
                  <c:v>31</c:v>
                </c:pt>
                <c:pt idx="5">
                  <c:v>31</c:v>
                </c:pt>
                <c:pt idx="6">
                  <c:v>31</c:v>
                </c:pt>
                <c:pt idx="7">
                  <c:v>31</c:v>
                </c:pt>
                <c:pt idx="8">
                  <c:v>31</c:v>
                </c:pt>
                <c:pt idx="9">
                  <c:v>31</c:v>
                </c:pt>
                <c:pt idx="10">
                  <c:v>31</c:v>
                </c:pt>
                <c:pt idx="11">
                  <c:v>31</c:v>
                </c:pt>
                <c:pt idx="12">
                  <c:v>32</c:v>
                </c:pt>
                <c:pt idx="13">
                  <c:v>32</c:v>
                </c:pt>
                <c:pt idx="14">
                  <c:v>31</c:v>
                </c:pt>
                <c:pt idx="15">
                  <c:v>31</c:v>
                </c:pt>
                <c:pt idx="16">
                  <c:v>31</c:v>
                </c:pt>
                <c:pt idx="17">
                  <c:v>31</c:v>
                </c:pt>
                <c:pt idx="18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A5-400C-9AC1-882C677CEF7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44627520"/>
        <c:axId val="1384619408"/>
      </c:lineChart>
      <c:catAx>
        <c:axId val="1544627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19408"/>
        <c:crosses val="autoZero"/>
        <c:auto val="1"/>
        <c:lblAlgn val="ctr"/>
        <c:lblOffset val="100"/>
        <c:noMultiLvlLbl val="0"/>
      </c:catAx>
      <c:valAx>
        <c:axId val="138461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TEmperature</a:t>
                </a:r>
                <a:r>
                  <a:rPr lang="en-NZ" baseline="0"/>
                  <a:t> (C)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62752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ninemost_EIGHT_1!$D$56</c:f>
              <c:strCache>
                <c:ptCount val="1"/>
                <c:pt idx="0">
                  <c:v> power.draw 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ninemost_EIGHT_1!$D$107:$D$125</c:f>
              <c:numCache>
                <c:formatCode>General</c:formatCode>
                <c:ptCount val="19"/>
                <c:pt idx="0">
                  <c:v>14.19</c:v>
                </c:pt>
                <c:pt idx="1">
                  <c:v>14.26</c:v>
                </c:pt>
                <c:pt idx="2">
                  <c:v>38.93</c:v>
                </c:pt>
                <c:pt idx="3">
                  <c:v>70.349999999999994</c:v>
                </c:pt>
                <c:pt idx="4">
                  <c:v>67.75</c:v>
                </c:pt>
                <c:pt idx="5">
                  <c:v>55</c:v>
                </c:pt>
                <c:pt idx="6">
                  <c:v>54.96</c:v>
                </c:pt>
                <c:pt idx="7">
                  <c:v>55.15</c:v>
                </c:pt>
                <c:pt idx="8">
                  <c:v>55.19</c:v>
                </c:pt>
                <c:pt idx="9">
                  <c:v>55.18</c:v>
                </c:pt>
                <c:pt idx="10">
                  <c:v>55.26</c:v>
                </c:pt>
                <c:pt idx="11">
                  <c:v>55.28</c:v>
                </c:pt>
                <c:pt idx="12">
                  <c:v>55.12</c:v>
                </c:pt>
                <c:pt idx="13">
                  <c:v>55.13</c:v>
                </c:pt>
                <c:pt idx="14">
                  <c:v>51.14</c:v>
                </c:pt>
                <c:pt idx="15">
                  <c:v>39.72</c:v>
                </c:pt>
                <c:pt idx="16">
                  <c:v>37.17</c:v>
                </c:pt>
                <c:pt idx="17">
                  <c:v>37.24</c:v>
                </c:pt>
                <c:pt idx="18">
                  <c:v>37.380000000000003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D2-4006-9FEB-C06D1A104A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4565344"/>
        <c:axId val="1226792752"/>
      </c:lineChart>
      <c:catAx>
        <c:axId val="1544565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92752"/>
        <c:crosses val="autoZero"/>
        <c:auto val="1"/>
        <c:lblAlgn val="ctr"/>
        <c:lblOffset val="100"/>
        <c:noMultiLvlLbl val="0"/>
      </c:catAx>
      <c:valAx>
        <c:axId val="12267927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Power.Draw</a:t>
                </a:r>
                <a:r>
                  <a:rPr lang="en-NZ" baseline="0"/>
                  <a:t> (W)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5653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ninemost_EIGHT_1!$G$56</c:f>
              <c:strCache>
                <c:ptCount val="1"/>
                <c:pt idx="0">
                  <c:v> memory.used [MiB]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ninemost_EIGHT_1!$G$107:$G$125</c:f>
              <c:numCache>
                <c:formatCode>General</c:formatCode>
                <c:ptCount val="19"/>
                <c:pt idx="0">
                  <c:v>8448</c:v>
                </c:pt>
                <c:pt idx="1">
                  <c:v>8448</c:v>
                </c:pt>
                <c:pt idx="2">
                  <c:v>8448</c:v>
                </c:pt>
                <c:pt idx="3">
                  <c:v>8448</c:v>
                </c:pt>
                <c:pt idx="4">
                  <c:v>8448</c:v>
                </c:pt>
                <c:pt idx="5">
                  <c:v>8448</c:v>
                </c:pt>
                <c:pt idx="6">
                  <c:v>8448</c:v>
                </c:pt>
                <c:pt idx="7">
                  <c:v>8448</c:v>
                </c:pt>
                <c:pt idx="8">
                  <c:v>8448</c:v>
                </c:pt>
                <c:pt idx="9">
                  <c:v>8448</c:v>
                </c:pt>
                <c:pt idx="10">
                  <c:v>8448</c:v>
                </c:pt>
                <c:pt idx="11">
                  <c:v>8448</c:v>
                </c:pt>
                <c:pt idx="12">
                  <c:v>8448</c:v>
                </c:pt>
                <c:pt idx="13">
                  <c:v>8448</c:v>
                </c:pt>
                <c:pt idx="14">
                  <c:v>8448</c:v>
                </c:pt>
                <c:pt idx="15">
                  <c:v>8448</c:v>
                </c:pt>
                <c:pt idx="16">
                  <c:v>8448</c:v>
                </c:pt>
                <c:pt idx="17">
                  <c:v>8448</c:v>
                </c:pt>
                <c:pt idx="18">
                  <c:v>8448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4D-437A-B45A-1846A937EB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9915328"/>
        <c:axId val="1384655888"/>
      </c:lineChart>
      <c:catAx>
        <c:axId val="1559915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55888"/>
        <c:crosses val="autoZero"/>
        <c:auto val="1"/>
        <c:lblAlgn val="ctr"/>
        <c:lblOffset val="100"/>
        <c:noMultiLvlLbl val="0"/>
      </c:catAx>
      <c:valAx>
        <c:axId val="13846558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Memory.Used[MiB]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91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ninemost_EIGHT_1!$H$56</c:f>
              <c:strCache>
                <c:ptCount val="1"/>
                <c:pt idx="0">
                  <c:v> temperature.gpu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ninemost_EIGHT_1!$H$106:$H$125</c:f>
              <c:numCache>
                <c:formatCode>General</c:formatCode>
                <c:ptCount val="20"/>
                <c:pt idx="0">
                  <c:v>0</c:v>
                </c:pt>
                <c:pt idx="1">
                  <c:v>35</c:v>
                </c:pt>
                <c:pt idx="2">
                  <c:v>36</c:v>
                </c:pt>
                <c:pt idx="3">
                  <c:v>39</c:v>
                </c:pt>
                <c:pt idx="4">
                  <c:v>43</c:v>
                </c:pt>
                <c:pt idx="5">
                  <c:v>43</c:v>
                </c:pt>
                <c:pt idx="6">
                  <c:v>44</c:v>
                </c:pt>
                <c:pt idx="7">
                  <c:v>44</c:v>
                </c:pt>
                <c:pt idx="8">
                  <c:v>44</c:v>
                </c:pt>
                <c:pt idx="9">
                  <c:v>45</c:v>
                </c:pt>
                <c:pt idx="10">
                  <c:v>45</c:v>
                </c:pt>
                <c:pt idx="11">
                  <c:v>45</c:v>
                </c:pt>
                <c:pt idx="12">
                  <c:v>45</c:v>
                </c:pt>
                <c:pt idx="13">
                  <c:v>46</c:v>
                </c:pt>
                <c:pt idx="14">
                  <c:v>46</c:v>
                </c:pt>
                <c:pt idx="15">
                  <c:v>42</c:v>
                </c:pt>
                <c:pt idx="16">
                  <c:v>41</c:v>
                </c:pt>
                <c:pt idx="17">
                  <c:v>40</c:v>
                </c:pt>
                <c:pt idx="18">
                  <c:v>40</c:v>
                </c:pt>
                <c:pt idx="19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CF-45F9-AC65-5BAEBA691FF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44627520"/>
        <c:axId val="1384619408"/>
      </c:lineChart>
      <c:catAx>
        <c:axId val="1544627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19408"/>
        <c:crosses val="autoZero"/>
        <c:auto val="1"/>
        <c:lblAlgn val="ctr"/>
        <c:lblOffset val="100"/>
        <c:noMultiLvlLbl val="0"/>
      </c:catAx>
      <c:valAx>
        <c:axId val="138461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TEmperature</a:t>
                </a:r>
                <a:r>
                  <a:rPr lang="en-NZ" baseline="0"/>
                  <a:t> (C)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62752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ninemost_EIGHT_1!$I$56</c:f>
              <c:strCache>
                <c:ptCount val="1"/>
                <c:pt idx="0">
                  <c:v> power.draw 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ninemost_EIGHT_1!$I$107:$I$125</c:f>
              <c:numCache>
                <c:formatCode>General</c:formatCode>
                <c:ptCount val="19"/>
                <c:pt idx="0">
                  <c:v>21.74</c:v>
                </c:pt>
                <c:pt idx="1">
                  <c:v>22.03</c:v>
                </c:pt>
                <c:pt idx="2">
                  <c:v>69.099999999999994</c:v>
                </c:pt>
                <c:pt idx="3">
                  <c:v>115.06</c:v>
                </c:pt>
                <c:pt idx="4">
                  <c:v>118.6</c:v>
                </c:pt>
                <c:pt idx="5">
                  <c:v>117.5</c:v>
                </c:pt>
                <c:pt idx="6">
                  <c:v>117.78</c:v>
                </c:pt>
                <c:pt idx="7">
                  <c:v>117.96</c:v>
                </c:pt>
                <c:pt idx="8">
                  <c:v>117.8</c:v>
                </c:pt>
                <c:pt idx="9">
                  <c:v>118.11</c:v>
                </c:pt>
                <c:pt idx="10">
                  <c:v>118.25</c:v>
                </c:pt>
                <c:pt idx="11">
                  <c:v>118.28</c:v>
                </c:pt>
                <c:pt idx="12">
                  <c:v>118.16</c:v>
                </c:pt>
                <c:pt idx="13">
                  <c:v>118.42</c:v>
                </c:pt>
                <c:pt idx="14">
                  <c:v>101.15</c:v>
                </c:pt>
                <c:pt idx="15">
                  <c:v>59.6</c:v>
                </c:pt>
                <c:pt idx="16">
                  <c:v>51.3</c:v>
                </c:pt>
                <c:pt idx="17">
                  <c:v>48.31</c:v>
                </c:pt>
                <c:pt idx="18">
                  <c:v>45.28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D7-4EAF-9C39-C043585650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4565344"/>
        <c:axId val="1226792752"/>
      </c:lineChart>
      <c:catAx>
        <c:axId val="1544565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92752"/>
        <c:crosses val="autoZero"/>
        <c:auto val="1"/>
        <c:lblAlgn val="ctr"/>
        <c:lblOffset val="100"/>
        <c:noMultiLvlLbl val="0"/>
      </c:catAx>
      <c:valAx>
        <c:axId val="12267927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Power.Draw</a:t>
                </a:r>
                <a:r>
                  <a:rPr lang="en-NZ" baseline="0"/>
                  <a:t> (W)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5653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190500</xdr:colOff>
      <xdr:row>2</xdr:row>
      <xdr:rowOff>38100</xdr:rowOff>
    </xdr:from>
    <xdr:to>
      <xdr:col>23</xdr:col>
      <xdr:colOff>349209</xdr:colOff>
      <xdr:row>25</xdr:row>
      <xdr:rowOff>176213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215F32-3A2C-4B01-8BC7-25B676A7F0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533400</xdr:colOff>
      <xdr:row>2</xdr:row>
      <xdr:rowOff>38100</xdr:rowOff>
    </xdr:from>
    <xdr:to>
      <xdr:col>37</xdr:col>
      <xdr:colOff>30306</xdr:colOff>
      <xdr:row>25</xdr:row>
      <xdr:rowOff>138113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C20DD3-B1D9-4621-9D62-B820FD83CA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228600</xdr:colOff>
      <xdr:row>2</xdr:row>
      <xdr:rowOff>0</xdr:rowOff>
    </xdr:from>
    <xdr:to>
      <xdr:col>48</xdr:col>
      <xdr:colOff>437903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CA7FC0-9494-44EE-88B8-5394088970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166688</xdr:colOff>
      <xdr:row>29</xdr:row>
      <xdr:rowOff>23812</xdr:rowOff>
    </xdr:from>
    <xdr:to>
      <xdr:col>23</xdr:col>
      <xdr:colOff>325397</xdr:colOff>
      <xdr:row>52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6654C53-31A1-4519-8762-667524ED47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452437</xdr:colOff>
      <xdr:row>29</xdr:row>
      <xdr:rowOff>23812</xdr:rowOff>
    </xdr:from>
    <xdr:to>
      <xdr:col>36</xdr:col>
      <xdr:colOff>568468</xdr:colOff>
      <xdr:row>52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1381423-F470-4D61-AF04-3398E81782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37</xdr:col>
      <xdr:colOff>214313</xdr:colOff>
      <xdr:row>29</xdr:row>
      <xdr:rowOff>47625</xdr:rowOff>
    </xdr:from>
    <xdr:to>
      <xdr:col>48</xdr:col>
      <xdr:colOff>423616</xdr:colOff>
      <xdr:row>52</xdr:row>
      <xdr:rowOff>152400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7C2A9BA-89AD-49E7-A00C-BB4F4FD88E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166688</xdr:colOff>
      <xdr:row>55</xdr:row>
      <xdr:rowOff>0</xdr:rowOff>
    </xdr:from>
    <xdr:to>
      <xdr:col>23</xdr:col>
      <xdr:colOff>325397</xdr:colOff>
      <xdr:row>78</xdr:row>
      <xdr:rowOff>138113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7096DC9-E4E1-4BA2-A70B-3168D57BCB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452437</xdr:colOff>
      <xdr:row>55</xdr:row>
      <xdr:rowOff>0</xdr:rowOff>
    </xdr:from>
    <xdr:to>
      <xdr:col>36</xdr:col>
      <xdr:colOff>568468</xdr:colOff>
      <xdr:row>78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35E2BC3-BE8D-4694-A5E6-93E9830C0B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37</xdr:col>
      <xdr:colOff>119062</xdr:colOff>
      <xdr:row>55</xdr:row>
      <xdr:rowOff>0</xdr:rowOff>
    </xdr:from>
    <xdr:to>
      <xdr:col>48</xdr:col>
      <xdr:colOff>328365</xdr:colOff>
      <xdr:row>78</xdr:row>
      <xdr:rowOff>104775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6320504-B954-481A-9209-E3F377EF4C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166687</xdr:colOff>
      <xdr:row>79</xdr:row>
      <xdr:rowOff>142875</xdr:rowOff>
    </xdr:from>
    <xdr:to>
      <xdr:col>23</xdr:col>
      <xdr:colOff>325396</xdr:colOff>
      <xdr:row>103</xdr:row>
      <xdr:rowOff>90488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13FCC09-247C-4AAF-BB2A-4216D61203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23</xdr:col>
      <xdr:colOff>428625</xdr:colOff>
      <xdr:row>79</xdr:row>
      <xdr:rowOff>166688</xdr:rowOff>
    </xdr:from>
    <xdr:to>
      <xdr:col>36</xdr:col>
      <xdr:colOff>544656</xdr:colOff>
      <xdr:row>103</xdr:row>
      <xdr:rowOff>76201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715EB7B-9CE7-46EA-AAD8-607FE5E06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37</xdr:col>
      <xdr:colOff>95250</xdr:colOff>
      <xdr:row>79</xdr:row>
      <xdr:rowOff>166687</xdr:rowOff>
    </xdr:from>
    <xdr:to>
      <xdr:col>48</xdr:col>
      <xdr:colOff>304553</xdr:colOff>
      <xdr:row>103</xdr:row>
      <xdr:rowOff>80962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5E62D47-F3C4-4A1E-AE0C-E8270F43A8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142875</xdr:colOff>
      <xdr:row>105</xdr:row>
      <xdr:rowOff>0</xdr:rowOff>
    </xdr:from>
    <xdr:to>
      <xdr:col>23</xdr:col>
      <xdr:colOff>301584</xdr:colOff>
      <xdr:row>128</xdr:row>
      <xdr:rowOff>138113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EF211F9-48AF-4EF9-8FE7-AF2F3C0412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23</xdr:col>
      <xdr:colOff>452437</xdr:colOff>
      <xdr:row>105</xdr:row>
      <xdr:rowOff>0</xdr:rowOff>
    </xdr:from>
    <xdr:to>
      <xdr:col>36</xdr:col>
      <xdr:colOff>568468</xdr:colOff>
      <xdr:row>128</xdr:row>
      <xdr:rowOff>100013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33D2CE5-8C2B-47E4-ADDD-25509BB1F8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37</xdr:col>
      <xdr:colOff>119062</xdr:colOff>
      <xdr:row>104</xdr:row>
      <xdr:rowOff>166687</xdr:rowOff>
    </xdr:from>
    <xdr:to>
      <xdr:col>48</xdr:col>
      <xdr:colOff>328365</xdr:colOff>
      <xdr:row>128</xdr:row>
      <xdr:rowOff>80962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8B620DA6-4D96-466E-B2C0-CFB1983ACF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142875</xdr:colOff>
      <xdr:row>130</xdr:row>
      <xdr:rowOff>142875</xdr:rowOff>
    </xdr:from>
    <xdr:to>
      <xdr:col>23</xdr:col>
      <xdr:colOff>301584</xdr:colOff>
      <xdr:row>154</xdr:row>
      <xdr:rowOff>90488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51B015A-5C82-4027-AD92-9D251738A4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428625</xdr:colOff>
      <xdr:row>131</xdr:row>
      <xdr:rowOff>0</xdr:rowOff>
    </xdr:from>
    <xdr:to>
      <xdr:col>36</xdr:col>
      <xdr:colOff>544656</xdr:colOff>
      <xdr:row>154</xdr:row>
      <xdr:rowOff>100013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677FE50-B118-416C-9456-B2294CEDCD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37</xdr:col>
      <xdr:colOff>47625</xdr:colOff>
      <xdr:row>130</xdr:row>
      <xdr:rowOff>166687</xdr:rowOff>
    </xdr:from>
    <xdr:to>
      <xdr:col>48</xdr:col>
      <xdr:colOff>256928</xdr:colOff>
      <xdr:row>154</xdr:row>
      <xdr:rowOff>80962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9577FD8-4879-43F1-805C-ED41FFE1E6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Nmap/silentCartographer_soitNetworkScan.xlsx" TargetMode="External"/><Relationship Id="rId2" Type="http://schemas.openxmlformats.org/officeDocument/2006/relationships/externalLinkPath" Target="file:///C:\Users\Sam\Desktop\2026%20Y3%20BIT\trimester2\Capstone\BHB-Capstone\Metrics\Nmap\silentCartographer_soitNetworkScan.xlsx" TargetMode="External"/><Relationship Id="rId1" Type="http://schemas.openxmlformats.org/officeDocument/2006/relationships/externalLinkPath" Target="/Users/Sam/Desktop/2026%20Y3%20BIT/trimester2/Capstone/BHB-Capstone/Metrics/Nmap/silentCartographer_soitNetworkSc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ilentCartographer_soitNetworkS"/>
    </sheetNames>
    <sheetDataSet>
      <sheetData sheetId="0">
        <row r="2">
          <cell r="B2" t="str">
            <v xml:space="preserve"> memory.used [MiB]</v>
          </cell>
          <cell r="C2" t="str">
            <v xml:space="preserve"> temperature.gpu</v>
          </cell>
          <cell r="D2" t="str">
            <v xml:space="preserve"> power.draw [W]</v>
          </cell>
        </row>
        <row r="169">
          <cell r="B169">
            <v>7066</v>
          </cell>
          <cell r="C169">
            <v>27</v>
          </cell>
          <cell r="D169">
            <v>5.95</v>
          </cell>
        </row>
        <row r="170">
          <cell r="B170">
            <v>7066</v>
          </cell>
          <cell r="C170">
            <v>27</v>
          </cell>
          <cell r="D170">
            <v>5.92</v>
          </cell>
        </row>
        <row r="171">
          <cell r="B171">
            <v>7066</v>
          </cell>
          <cell r="C171">
            <v>27</v>
          </cell>
          <cell r="D171">
            <v>5.93</v>
          </cell>
        </row>
        <row r="172">
          <cell r="B172">
            <v>7066</v>
          </cell>
          <cell r="C172">
            <v>27</v>
          </cell>
          <cell r="D172">
            <v>5.93</v>
          </cell>
        </row>
        <row r="173">
          <cell r="B173">
            <v>7066</v>
          </cell>
          <cell r="C173">
            <v>27</v>
          </cell>
          <cell r="D173">
            <v>6.01</v>
          </cell>
        </row>
        <row r="174">
          <cell r="B174">
            <v>7066</v>
          </cell>
          <cell r="C174">
            <v>27</v>
          </cell>
          <cell r="D174">
            <v>6.07</v>
          </cell>
        </row>
        <row r="175">
          <cell r="B175">
            <v>7066</v>
          </cell>
          <cell r="C175">
            <v>27</v>
          </cell>
          <cell r="D175">
            <v>6.01</v>
          </cell>
        </row>
        <row r="176">
          <cell r="B176">
            <v>7066</v>
          </cell>
          <cell r="C176">
            <v>26</v>
          </cell>
          <cell r="D176">
            <v>5.96</v>
          </cell>
        </row>
        <row r="177">
          <cell r="B177">
            <v>7066</v>
          </cell>
          <cell r="C177">
            <v>26</v>
          </cell>
          <cell r="D177">
            <v>5.95</v>
          </cell>
        </row>
        <row r="178">
          <cell r="B178">
            <v>7066</v>
          </cell>
          <cell r="C178">
            <v>26</v>
          </cell>
          <cell r="D178">
            <v>5.96</v>
          </cell>
        </row>
        <row r="179">
          <cell r="B179">
            <v>7066</v>
          </cell>
          <cell r="C179">
            <v>28</v>
          </cell>
          <cell r="D179">
            <v>13</v>
          </cell>
        </row>
        <row r="180">
          <cell r="B180">
            <v>7066</v>
          </cell>
          <cell r="C180">
            <v>29</v>
          </cell>
          <cell r="D180">
            <v>52.26</v>
          </cell>
        </row>
        <row r="181">
          <cell r="B181">
            <v>7066</v>
          </cell>
          <cell r="C181">
            <v>29</v>
          </cell>
          <cell r="D181">
            <v>54.26</v>
          </cell>
        </row>
        <row r="182">
          <cell r="B182">
            <v>7066</v>
          </cell>
          <cell r="C182">
            <v>30</v>
          </cell>
          <cell r="D182">
            <v>54.12</v>
          </cell>
        </row>
        <row r="183">
          <cell r="B183">
            <v>7066</v>
          </cell>
          <cell r="C183">
            <v>30</v>
          </cell>
          <cell r="D183">
            <v>54.26</v>
          </cell>
        </row>
        <row r="184">
          <cell r="B184">
            <v>7066</v>
          </cell>
          <cell r="C184">
            <v>30</v>
          </cell>
          <cell r="D184">
            <v>54.15</v>
          </cell>
        </row>
        <row r="185">
          <cell r="B185">
            <v>7066</v>
          </cell>
          <cell r="C185">
            <v>30</v>
          </cell>
          <cell r="D185">
            <v>54.21</v>
          </cell>
        </row>
        <row r="186">
          <cell r="B186">
            <v>7066</v>
          </cell>
          <cell r="C186">
            <v>30</v>
          </cell>
          <cell r="D186">
            <v>54.66</v>
          </cell>
        </row>
        <row r="187">
          <cell r="B187">
            <v>7066</v>
          </cell>
          <cell r="C187">
            <v>30</v>
          </cell>
          <cell r="D187">
            <v>54.41</v>
          </cell>
        </row>
        <row r="188">
          <cell r="B188">
            <v>7066</v>
          </cell>
          <cell r="C188">
            <v>30</v>
          </cell>
          <cell r="D188">
            <v>54.37</v>
          </cell>
        </row>
        <row r="189">
          <cell r="B189">
            <v>7066</v>
          </cell>
          <cell r="C189">
            <v>31</v>
          </cell>
          <cell r="D189">
            <v>54.63</v>
          </cell>
        </row>
        <row r="190">
          <cell r="B190">
            <v>7066</v>
          </cell>
          <cell r="C190">
            <v>31</v>
          </cell>
          <cell r="D190">
            <v>54.78</v>
          </cell>
        </row>
        <row r="191">
          <cell r="B191">
            <v>7066</v>
          </cell>
          <cell r="C191">
            <v>31</v>
          </cell>
          <cell r="D191">
            <v>54.64</v>
          </cell>
        </row>
        <row r="192">
          <cell r="B192">
            <v>7066</v>
          </cell>
          <cell r="C192">
            <v>31</v>
          </cell>
          <cell r="D192">
            <v>54.78</v>
          </cell>
        </row>
        <row r="193">
          <cell r="B193">
            <v>7066</v>
          </cell>
          <cell r="C193">
            <v>31</v>
          </cell>
          <cell r="D193">
            <v>54.75</v>
          </cell>
        </row>
        <row r="194">
          <cell r="B194">
            <v>7066</v>
          </cell>
          <cell r="C194">
            <v>31</v>
          </cell>
          <cell r="D194">
            <v>54.72</v>
          </cell>
        </row>
        <row r="195">
          <cell r="B195">
            <v>7066</v>
          </cell>
          <cell r="C195">
            <v>31</v>
          </cell>
          <cell r="D195">
            <v>55</v>
          </cell>
        </row>
        <row r="196">
          <cell r="B196">
            <v>7066</v>
          </cell>
          <cell r="C196">
            <v>31</v>
          </cell>
          <cell r="D196">
            <v>54.75</v>
          </cell>
        </row>
        <row r="197">
          <cell r="B197">
            <v>7066</v>
          </cell>
          <cell r="C197">
            <v>31</v>
          </cell>
          <cell r="D197">
            <v>54.81</v>
          </cell>
        </row>
        <row r="198">
          <cell r="B198">
            <v>7066</v>
          </cell>
          <cell r="C198">
            <v>31</v>
          </cell>
          <cell r="D198">
            <v>52.68</v>
          </cell>
        </row>
        <row r="199">
          <cell r="B199">
            <v>7066</v>
          </cell>
          <cell r="C199">
            <v>32</v>
          </cell>
          <cell r="D199">
            <v>48.81</v>
          </cell>
        </row>
        <row r="200">
          <cell r="B200">
            <v>7066</v>
          </cell>
          <cell r="C200">
            <v>33</v>
          </cell>
          <cell r="D200">
            <v>71.849999999999994</v>
          </cell>
        </row>
        <row r="201">
          <cell r="B201">
            <v>7066</v>
          </cell>
          <cell r="C201">
            <v>32</v>
          </cell>
          <cell r="D201">
            <v>65.959999999999994</v>
          </cell>
        </row>
        <row r="202">
          <cell r="B202">
            <v>7066</v>
          </cell>
          <cell r="C202">
            <v>32</v>
          </cell>
          <cell r="D202">
            <v>54.71</v>
          </cell>
        </row>
        <row r="203">
          <cell r="B203">
            <v>7066</v>
          </cell>
          <cell r="C203">
            <v>33</v>
          </cell>
          <cell r="D203">
            <v>59.38</v>
          </cell>
        </row>
        <row r="204">
          <cell r="B204">
            <v>7066</v>
          </cell>
          <cell r="C204">
            <v>34</v>
          </cell>
          <cell r="D204">
            <v>66.819999999999993</v>
          </cell>
        </row>
        <row r="205">
          <cell r="B205">
            <v>7066</v>
          </cell>
          <cell r="C205">
            <v>34</v>
          </cell>
          <cell r="D205">
            <v>72.72</v>
          </cell>
        </row>
        <row r="206">
          <cell r="B206">
            <v>7066</v>
          </cell>
          <cell r="C206">
            <v>33</v>
          </cell>
          <cell r="D206">
            <v>60.28</v>
          </cell>
        </row>
        <row r="207">
          <cell r="B207">
            <v>7066</v>
          </cell>
          <cell r="C207">
            <v>33</v>
          </cell>
          <cell r="D207">
            <v>55.52</v>
          </cell>
        </row>
        <row r="208">
          <cell r="B208">
            <v>7066</v>
          </cell>
          <cell r="C208">
            <v>33</v>
          </cell>
          <cell r="D208">
            <v>55.51</v>
          </cell>
        </row>
        <row r="209">
          <cell r="B209">
            <v>7066</v>
          </cell>
          <cell r="C209">
            <v>33</v>
          </cell>
          <cell r="D209">
            <v>55.51</v>
          </cell>
        </row>
        <row r="210">
          <cell r="B210">
            <v>7066</v>
          </cell>
          <cell r="C210">
            <v>33</v>
          </cell>
          <cell r="D210">
            <v>55.31</v>
          </cell>
        </row>
        <row r="211">
          <cell r="B211">
            <v>7066</v>
          </cell>
          <cell r="C211">
            <v>33</v>
          </cell>
          <cell r="D211">
            <v>55.45</v>
          </cell>
        </row>
        <row r="212">
          <cell r="B212">
            <v>7066</v>
          </cell>
          <cell r="C212">
            <v>33</v>
          </cell>
          <cell r="D212">
            <v>55.58</v>
          </cell>
        </row>
        <row r="213">
          <cell r="B213">
            <v>7066</v>
          </cell>
          <cell r="C213">
            <v>33</v>
          </cell>
          <cell r="D213">
            <v>55.42</v>
          </cell>
        </row>
        <row r="214">
          <cell r="B214">
            <v>7066</v>
          </cell>
          <cell r="C214">
            <v>33</v>
          </cell>
          <cell r="D214">
            <v>55.22</v>
          </cell>
        </row>
        <row r="215">
          <cell r="B215">
            <v>7066</v>
          </cell>
          <cell r="C215">
            <v>33</v>
          </cell>
          <cell r="D215">
            <v>55.48</v>
          </cell>
        </row>
        <row r="216">
          <cell r="B216">
            <v>7066</v>
          </cell>
          <cell r="C216">
            <v>34</v>
          </cell>
          <cell r="D216">
            <v>55.24</v>
          </cell>
        </row>
        <row r="217">
          <cell r="B217">
            <v>7066</v>
          </cell>
          <cell r="C217">
            <v>34</v>
          </cell>
          <cell r="D217">
            <v>55.55</v>
          </cell>
        </row>
        <row r="218">
          <cell r="B218">
            <v>7066</v>
          </cell>
          <cell r="C218">
            <v>34</v>
          </cell>
          <cell r="D218">
            <v>55.46</v>
          </cell>
        </row>
        <row r="219">
          <cell r="B219">
            <v>7066</v>
          </cell>
          <cell r="C219">
            <v>34</v>
          </cell>
          <cell r="D219">
            <v>55.38</v>
          </cell>
        </row>
        <row r="220">
          <cell r="B220">
            <v>7066</v>
          </cell>
          <cell r="C220">
            <v>33</v>
          </cell>
          <cell r="D220">
            <v>47.17</v>
          </cell>
        </row>
        <row r="221">
          <cell r="B221">
            <v>7066</v>
          </cell>
          <cell r="C221">
            <v>33</v>
          </cell>
          <cell r="D221">
            <v>40.81</v>
          </cell>
        </row>
        <row r="222">
          <cell r="B222">
            <v>7066</v>
          </cell>
          <cell r="C222">
            <v>33</v>
          </cell>
          <cell r="D222">
            <v>37.85</v>
          </cell>
        </row>
        <row r="223">
          <cell r="B223">
            <v>7066</v>
          </cell>
          <cell r="C223">
            <v>33</v>
          </cell>
          <cell r="D223">
            <v>37.82</v>
          </cell>
        </row>
        <row r="224">
          <cell r="B224">
            <v>7066</v>
          </cell>
          <cell r="C224">
            <v>33</v>
          </cell>
          <cell r="D224">
            <v>37.81</v>
          </cell>
        </row>
        <row r="225">
          <cell r="B225">
            <v>7066</v>
          </cell>
          <cell r="C225">
            <v>32</v>
          </cell>
          <cell r="D225">
            <v>37.840000000000003</v>
          </cell>
        </row>
        <row r="226">
          <cell r="B226">
            <v>7066</v>
          </cell>
          <cell r="C226">
            <v>33</v>
          </cell>
          <cell r="D226">
            <v>37.75</v>
          </cell>
        </row>
        <row r="227">
          <cell r="B227">
            <v>7066</v>
          </cell>
          <cell r="C227">
            <v>33</v>
          </cell>
          <cell r="D227">
            <v>37.619999999999997</v>
          </cell>
        </row>
        <row r="228">
          <cell r="B228">
            <v>7066</v>
          </cell>
          <cell r="C228">
            <v>33</v>
          </cell>
          <cell r="D228">
            <v>37.6</v>
          </cell>
        </row>
        <row r="229">
          <cell r="B229">
            <v>7066</v>
          </cell>
          <cell r="C229">
            <v>33</v>
          </cell>
          <cell r="D229">
            <v>37.659999999999997</v>
          </cell>
        </row>
        <row r="230">
          <cell r="B230">
            <v>7066</v>
          </cell>
          <cell r="C230">
            <v>32</v>
          </cell>
          <cell r="D230">
            <v>37.76</v>
          </cell>
        </row>
        <row r="231">
          <cell r="B231">
            <v>7066</v>
          </cell>
          <cell r="C231">
            <v>33</v>
          </cell>
          <cell r="D231">
            <v>37.78</v>
          </cell>
        </row>
        <row r="232">
          <cell r="B232">
            <v>7066</v>
          </cell>
          <cell r="C232">
            <v>32</v>
          </cell>
          <cell r="D232">
            <v>37.78</v>
          </cell>
        </row>
        <row r="233">
          <cell r="B233">
            <v>7066</v>
          </cell>
          <cell r="C233">
            <v>33</v>
          </cell>
          <cell r="D233">
            <v>37.78</v>
          </cell>
        </row>
        <row r="234">
          <cell r="B234">
            <v>7066</v>
          </cell>
          <cell r="C234">
            <v>33</v>
          </cell>
          <cell r="D234">
            <v>37.79</v>
          </cell>
        </row>
        <row r="235">
          <cell r="B235">
            <v>7066</v>
          </cell>
          <cell r="C235">
            <v>32</v>
          </cell>
          <cell r="D235">
            <v>37.76</v>
          </cell>
        </row>
        <row r="236">
          <cell r="B236">
            <v>7066</v>
          </cell>
          <cell r="C236">
            <v>32</v>
          </cell>
          <cell r="D236">
            <v>37.67</v>
          </cell>
        </row>
        <row r="237">
          <cell r="B237">
            <v>7066</v>
          </cell>
          <cell r="C237">
            <v>31</v>
          </cell>
          <cell r="D237">
            <v>29.47</v>
          </cell>
        </row>
        <row r="238">
          <cell r="B238">
            <v>7066</v>
          </cell>
          <cell r="C238">
            <v>31</v>
          </cell>
          <cell r="D238">
            <v>19.420000000000002</v>
          </cell>
        </row>
        <row r="239">
          <cell r="B239">
            <v>7066</v>
          </cell>
          <cell r="C239">
            <v>31</v>
          </cell>
          <cell r="D239">
            <v>7.84</v>
          </cell>
        </row>
        <row r="240">
          <cell r="B240">
            <v>7066</v>
          </cell>
          <cell r="C240">
            <v>31</v>
          </cell>
          <cell r="D240">
            <v>6.28</v>
          </cell>
        </row>
        <row r="241">
          <cell r="B241">
            <v>7066</v>
          </cell>
          <cell r="C241">
            <v>30</v>
          </cell>
          <cell r="D241">
            <v>6.23</v>
          </cell>
        </row>
        <row r="242">
          <cell r="B242">
            <v>7066</v>
          </cell>
          <cell r="C242">
            <v>30</v>
          </cell>
          <cell r="D242">
            <v>6.14</v>
          </cell>
        </row>
        <row r="243">
          <cell r="B243">
            <v>7066</v>
          </cell>
          <cell r="C243">
            <v>30</v>
          </cell>
          <cell r="D243">
            <v>6.09</v>
          </cell>
        </row>
        <row r="244">
          <cell r="B244">
            <v>7066</v>
          </cell>
          <cell r="C244">
            <v>30</v>
          </cell>
          <cell r="D244">
            <v>6.15</v>
          </cell>
        </row>
        <row r="245">
          <cell r="B245">
            <v>7066</v>
          </cell>
          <cell r="C245">
            <v>30</v>
          </cell>
          <cell r="D245">
            <v>6.16</v>
          </cell>
        </row>
        <row r="246">
          <cell r="B246">
            <v>7066</v>
          </cell>
          <cell r="C246">
            <v>30</v>
          </cell>
          <cell r="D246">
            <v>6.05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0FC76-ED64-413D-A157-7A58FF6C75C0}">
  <dimension ref="A2:I134"/>
  <sheetViews>
    <sheetView tabSelected="1" zoomScale="40" zoomScaleNormal="40" workbookViewId="0">
      <selection activeCell="U162" sqref="U162"/>
    </sheetView>
  </sheetViews>
  <sheetFormatPr defaultRowHeight="15" x14ac:dyDescent="0.25"/>
  <cols>
    <col min="1" max="1" width="24.85546875" customWidth="1"/>
    <col min="2" max="2" width="30" customWidth="1"/>
    <col min="3" max="3" width="33.85546875" customWidth="1"/>
    <col min="4" max="4" width="33" customWidth="1"/>
    <col min="5" max="5" width="10.28515625" customWidth="1"/>
    <col min="6" max="6" width="23.85546875" customWidth="1"/>
    <col min="7" max="7" width="26" customWidth="1"/>
    <col min="8" max="8" width="21.85546875" customWidth="1"/>
    <col min="9" max="9" width="27.85546875" customWidth="1"/>
  </cols>
  <sheetData>
    <row r="2" spans="1:9" x14ac:dyDescent="0.25">
      <c r="A2" s="9" t="s">
        <v>6</v>
      </c>
    </row>
    <row r="3" spans="1:9" x14ac:dyDescent="0.25">
      <c r="A3" s="2" t="s">
        <v>0</v>
      </c>
      <c r="B3" s="2" t="s">
        <v>1</v>
      </c>
      <c r="C3" s="2" t="s">
        <v>2</v>
      </c>
      <c r="D3" s="2" t="s">
        <v>3</v>
      </c>
      <c r="F3" s="2" t="s">
        <v>0</v>
      </c>
      <c r="G3" s="2" t="s">
        <v>1</v>
      </c>
      <c r="H3" s="2" t="s">
        <v>2</v>
      </c>
      <c r="I3" s="2" t="s">
        <v>3</v>
      </c>
    </row>
    <row r="4" spans="1:9" x14ac:dyDescent="0.25">
      <c r="A4" s="6" t="s">
        <v>5</v>
      </c>
      <c r="B4" s="1">
        <v>7064</v>
      </c>
      <c r="C4" s="1">
        <v>28</v>
      </c>
      <c r="D4" s="1">
        <v>43.02</v>
      </c>
      <c r="F4" s="7" t="s">
        <v>4</v>
      </c>
      <c r="G4" s="1">
        <v>8448</v>
      </c>
      <c r="H4" s="1">
        <v>35</v>
      </c>
      <c r="I4" s="1">
        <v>50.69</v>
      </c>
    </row>
    <row r="5" spans="1:9" x14ac:dyDescent="0.25">
      <c r="A5" s="6" t="s">
        <v>5</v>
      </c>
      <c r="B5" s="1">
        <v>7064</v>
      </c>
      <c r="C5" s="1">
        <v>30</v>
      </c>
      <c r="D5" s="1">
        <v>69.959999999999994</v>
      </c>
      <c r="F5" s="7" t="s">
        <v>4</v>
      </c>
      <c r="G5" s="1">
        <v>8448</v>
      </c>
      <c r="H5" s="1">
        <v>39</v>
      </c>
      <c r="I5" s="1">
        <v>107.43</v>
      </c>
    </row>
    <row r="6" spans="1:9" x14ac:dyDescent="0.25">
      <c r="A6" s="6" t="s">
        <v>5</v>
      </c>
      <c r="B6" s="1">
        <v>7064</v>
      </c>
      <c r="C6" s="1">
        <v>29</v>
      </c>
      <c r="D6" s="1">
        <v>67.650000000000006</v>
      </c>
      <c r="F6" s="7" t="s">
        <v>4</v>
      </c>
      <c r="G6" s="1">
        <v>8448</v>
      </c>
      <c r="H6" s="1">
        <v>40</v>
      </c>
      <c r="I6" s="1">
        <v>117.47</v>
      </c>
    </row>
    <row r="7" spans="1:9" x14ac:dyDescent="0.25">
      <c r="A7" s="6" t="s">
        <v>5</v>
      </c>
      <c r="B7" s="1">
        <v>7064</v>
      </c>
      <c r="C7" s="1">
        <v>29</v>
      </c>
      <c r="D7" s="1">
        <v>54.93</v>
      </c>
      <c r="F7" s="7" t="s">
        <v>4</v>
      </c>
      <c r="G7" s="1">
        <v>8448</v>
      </c>
      <c r="H7" s="1">
        <v>40</v>
      </c>
      <c r="I7" s="1">
        <v>117.15</v>
      </c>
    </row>
    <row r="8" spans="1:9" x14ac:dyDescent="0.25">
      <c r="A8" s="6" t="s">
        <v>5</v>
      </c>
      <c r="B8" s="1">
        <v>7064</v>
      </c>
      <c r="C8" s="1">
        <v>30</v>
      </c>
      <c r="D8" s="1">
        <v>54.81</v>
      </c>
      <c r="F8" s="7" t="s">
        <v>4</v>
      </c>
      <c r="G8" s="1">
        <v>8448</v>
      </c>
      <c r="H8" s="1">
        <v>41</v>
      </c>
      <c r="I8" s="1">
        <v>117.38</v>
      </c>
    </row>
    <row r="9" spans="1:9" x14ac:dyDescent="0.25">
      <c r="A9" s="6" t="s">
        <v>5</v>
      </c>
      <c r="B9" s="1">
        <v>7064</v>
      </c>
      <c r="C9" s="1">
        <v>30</v>
      </c>
      <c r="D9" s="1">
        <v>54.79</v>
      </c>
      <c r="F9" s="7" t="s">
        <v>4</v>
      </c>
      <c r="G9" s="1">
        <v>8448</v>
      </c>
      <c r="H9" s="1">
        <v>41</v>
      </c>
      <c r="I9" s="1">
        <v>117.25</v>
      </c>
    </row>
    <row r="10" spans="1:9" x14ac:dyDescent="0.25">
      <c r="A10" s="6" t="s">
        <v>5</v>
      </c>
      <c r="B10" s="1">
        <v>7064</v>
      </c>
      <c r="C10" s="1">
        <v>30</v>
      </c>
      <c r="D10" s="1">
        <v>54.78</v>
      </c>
      <c r="F10" s="7" t="s">
        <v>4</v>
      </c>
      <c r="G10" s="1">
        <v>8448</v>
      </c>
      <c r="H10" s="1">
        <v>41</v>
      </c>
      <c r="I10" s="1">
        <v>117.6</v>
      </c>
    </row>
    <row r="11" spans="1:9" x14ac:dyDescent="0.25">
      <c r="A11" s="6" t="s">
        <v>5</v>
      </c>
      <c r="B11" s="1">
        <v>7064</v>
      </c>
      <c r="C11" s="1">
        <v>30</v>
      </c>
      <c r="D11" s="1">
        <v>54.84</v>
      </c>
      <c r="F11" s="7" t="s">
        <v>4</v>
      </c>
      <c r="G11" s="1">
        <v>8448</v>
      </c>
      <c r="H11" s="1">
        <v>42</v>
      </c>
      <c r="I11" s="1">
        <v>117.17</v>
      </c>
    </row>
    <row r="12" spans="1:9" x14ac:dyDescent="0.25">
      <c r="A12" s="6" t="s">
        <v>5</v>
      </c>
      <c r="B12" s="1">
        <v>7064</v>
      </c>
      <c r="C12" s="1">
        <v>30</v>
      </c>
      <c r="D12" s="1">
        <v>54.87</v>
      </c>
      <c r="F12" s="7" t="s">
        <v>4</v>
      </c>
      <c r="G12" s="1">
        <v>8448</v>
      </c>
      <c r="H12" s="1">
        <v>42</v>
      </c>
      <c r="I12" s="1">
        <v>117.45</v>
      </c>
    </row>
    <row r="13" spans="1:9" x14ac:dyDescent="0.25">
      <c r="A13" s="6" t="s">
        <v>5</v>
      </c>
      <c r="B13" s="1">
        <v>7064</v>
      </c>
      <c r="C13" s="1">
        <v>30</v>
      </c>
      <c r="D13" s="1">
        <v>54.72</v>
      </c>
      <c r="F13" s="7" t="s">
        <v>4</v>
      </c>
      <c r="G13" s="1">
        <v>8448</v>
      </c>
      <c r="H13" s="1">
        <v>42</v>
      </c>
      <c r="I13" s="1">
        <v>117.46</v>
      </c>
    </row>
    <row r="14" spans="1:9" x14ac:dyDescent="0.25">
      <c r="A14" s="6" t="s">
        <v>5</v>
      </c>
      <c r="B14" s="1">
        <v>7064</v>
      </c>
      <c r="C14" s="1">
        <v>30</v>
      </c>
      <c r="D14" s="1">
        <v>54.66</v>
      </c>
      <c r="F14" s="7" t="s">
        <v>4</v>
      </c>
      <c r="G14" s="1">
        <v>8448</v>
      </c>
      <c r="H14" s="1">
        <v>42</v>
      </c>
      <c r="I14" s="1">
        <v>117</v>
      </c>
    </row>
    <row r="15" spans="1:9" x14ac:dyDescent="0.25">
      <c r="A15" s="6" t="s">
        <v>5</v>
      </c>
      <c r="B15" s="1">
        <v>7064</v>
      </c>
      <c r="C15" s="1">
        <v>30</v>
      </c>
      <c r="D15" s="1">
        <v>54.87</v>
      </c>
      <c r="F15" s="7" t="s">
        <v>4</v>
      </c>
      <c r="G15" s="1">
        <v>8448</v>
      </c>
      <c r="H15" s="1">
        <v>43</v>
      </c>
      <c r="I15" s="1">
        <v>117.76</v>
      </c>
    </row>
    <row r="16" spans="1:9" x14ac:dyDescent="0.25">
      <c r="A16" s="6" t="s">
        <v>5</v>
      </c>
      <c r="B16" s="1">
        <v>7064</v>
      </c>
      <c r="C16" s="1">
        <v>30</v>
      </c>
      <c r="D16" s="1">
        <v>48.47</v>
      </c>
      <c r="F16" s="7" t="s">
        <v>4</v>
      </c>
      <c r="G16" s="1">
        <v>8448</v>
      </c>
      <c r="H16" s="1">
        <v>38</v>
      </c>
      <c r="I16" s="1">
        <v>97.75</v>
      </c>
    </row>
    <row r="17" spans="1:9" x14ac:dyDescent="0.25">
      <c r="A17" s="6" t="s">
        <v>5</v>
      </c>
      <c r="B17" s="1">
        <v>7064</v>
      </c>
      <c r="C17" s="1">
        <v>30</v>
      </c>
      <c r="D17" s="1">
        <v>40.53</v>
      </c>
      <c r="F17" s="8" t="s">
        <v>4</v>
      </c>
      <c r="G17" s="3">
        <v>8448</v>
      </c>
      <c r="H17" s="3">
        <v>38</v>
      </c>
      <c r="I17" s="3">
        <v>62</v>
      </c>
    </row>
    <row r="18" spans="1:9" x14ac:dyDescent="0.25">
      <c r="A18" s="11" t="s">
        <v>9</v>
      </c>
      <c r="B18" s="1">
        <f>AVERAGE(B4:B17)</f>
        <v>7064</v>
      </c>
      <c r="C18" s="1">
        <f>AVERAGE(C4:C17)</f>
        <v>29.714285714285715</v>
      </c>
      <c r="D18" s="1">
        <f>AVERAGE(D4:D17)</f>
        <v>54.492857142857147</v>
      </c>
      <c r="F18" s="12" t="s">
        <v>9</v>
      </c>
      <c r="G18" s="1">
        <f>AVERAGE(G4:G17)</f>
        <v>8448</v>
      </c>
      <c r="H18" s="1">
        <f>AVERAGE(H4:H17)</f>
        <v>40.285714285714285</v>
      </c>
      <c r="I18" s="1">
        <f>AVERAGE(I4:I17)</f>
        <v>106.53999999999999</v>
      </c>
    </row>
    <row r="55" spans="1:9" x14ac:dyDescent="0.25">
      <c r="A55" s="2" t="s">
        <v>7</v>
      </c>
      <c r="B55" s="5"/>
      <c r="C55" s="5"/>
      <c r="D55" s="4"/>
    </row>
    <row r="56" spans="1:9" x14ac:dyDescent="0.25">
      <c r="A56" s="2" t="s">
        <v>0</v>
      </c>
      <c r="B56" s="2" t="s">
        <v>1</v>
      </c>
      <c r="C56" s="2" t="s">
        <v>2</v>
      </c>
      <c r="D56" s="2" t="s">
        <v>3</v>
      </c>
      <c r="F56" s="2" t="s">
        <v>0</v>
      </c>
      <c r="G56" s="2" t="s">
        <v>1</v>
      </c>
      <c r="H56" s="2" t="s">
        <v>2</v>
      </c>
      <c r="I56" s="2" t="s">
        <v>3</v>
      </c>
    </row>
    <row r="57" spans="1:9" x14ac:dyDescent="0.25">
      <c r="A57" s="6" t="s">
        <v>5</v>
      </c>
      <c r="B57" s="1">
        <v>7064</v>
      </c>
      <c r="C57" s="1">
        <v>26</v>
      </c>
      <c r="D57" s="1">
        <v>14.11</v>
      </c>
      <c r="F57" s="7" t="s">
        <v>4</v>
      </c>
      <c r="G57" s="1">
        <v>8448</v>
      </c>
      <c r="H57" s="1">
        <v>33</v>
      </c>
      <c r="I57" s="1">
        <v>21.58</v>
      </c>
    </row>
    <row r="58" spans="1:9" x14ac:dyDescent="0.25">
      <c r="A58" s="6" t="s">
        <v>5</v>
      </c>
      <c r="B58" s="1">
        <v>7064</v>
      </c>
      <c r="C58" s="1">
        <v>26</v>
      </c>
      <c r="D58" s="1">
        <v>14.14</v>
      </c>
      <c r="F58" s="7" t="s">
        <v>4</v>
      </c>
      <c r="G58" s="1">
        <v>8448</v>
      </c>
      <c r="H58" s="1">
        <v>33</v>
      </c>
      <c r="I58" s="1">
        <v>21.55</v>
      </c>
    </row>
    <row r="59" spans="1:9" x14ac:dyDescent="0.25">
      <c r="A59" s="6" t="s">
        <v>5</v>
      </c>
      <c r="B59" s="1">
        <v>7064</v>
      </c>
      <c r="C59" s="1">
        <v>27</v>
      </c>
      <c r="D59" s="1">
        <v>14.49</v>
      </c>
      <c r="F59" s="7" t="s">
        <v>4</v>
      </c>
      <c r="G59" s="1">
        <v>8448</v>
      </c>
      <c r="H59" s="1">
        <v>34</v>
      </c>
      <c r="I59" s="1">
        <v>22.53</v>
      </c>
    </row>
    <row r="60" spans="1:9" x14ac:dyDescent="0.25">
      <c r="A60" s="6" t="s">
        <v>5</v>
      </c>
      <c r="B60" s="1">
        <v>7064</v>
      </c>
      <c r="C60" s="1">
        <v>29</v>
      </c>
      <c r="D60" s="1">
        <v>58.06</v>
      </c>
      <c r="F60" s="7" t="s">
        <v>4</v>
      </c>
      <c r="G60" s="1">
        <v>8448</v>
      </c>
      <c r="H60" s="1">
        <v>38</v>
      </c>
      <c r="I60" s="1">
        <v>70.13</v>
      </c>
    </row>
    <row r="61" spans="1:9" x14ac:dyDescent="0.25">
      <c r="A61" s="6" t="s">
        <v>5</v>
      </c>
      <c r="B61" s="1">
        <v>7064</v>
      </c>
      <c r="C61" s="1">
        <v>30</v>
      </c>
      <c r="D61" s="1">
        <v>70.849999999999994</v>
      </c>
      <c r="F61" s="7" t="s">
        <v>4</v>
      </c>
      <c r="G61" s="1">
        <v>8448</v>
      </c>
      <c r="H61" s="1">
        <v>40</v>
      </c>
      <c r="I61" s="1">
        <v>116.62</v>
      </c>
    </row>
    <row r="62" spans="1:9" x14ac:dyDescent="0.25">
      <c r="A62" s="6" t="s">
        <v>5</v>
      </c>
      <c r="B62" s="1">
        <v>7064</v>
      </c>
      <c r="C62" s="1">
        <v>30</v>
      </c>
      <c r="D62" s="1">
        <v>67.69</v>
      </c>
      <c r="F62" s="7" t="s">
        <v>4</v>
      </c>
      <c r="G62" s="1">
        <v>8448</v>
      </c>
      <c r="H62" s="1">
        <v>41</v>
      </c>
      <c r="I62" s="1">
        <v>117.63</v>
      </c>
    </row>
    <row r="63" spans="1:9" x14ac:dyDescent="0.25">
      <c r="A63" s="6" t="s">
        <v>5</v>
      </c>
      <c r="B63" s="1">
        <v>7064</v>
      </c>
      <c r="C63" s="1">
        <v>30</v>
      </c>
      <c r="D63" s="1">
        <v>55</v>
      </c>
      <c r="F63" s="7" t="s">
        <v>4</v>
      </c>
      <c r="G63" s="1">
        <v>8448</v>
      </c>
      <c r="H63" s="1">
        <v>41</v>
      </c>
      <c r="I63" s="1">
        <v>117.68</v>
      </c>
    </row>
    <row r="64" spans="1:9" x14ac:dyDescent="0.25">
      <c r="A64" s="6" t="s">
        <v>5</v>
      </c>
      <c r="B64" s="1">
        <v>7064</v>
      </c>
      <c r="C64" s="1">
        <v>30</v>
      </c>
      <c r="D64" s="1">
        <v>54.9</v>
      </c>
      <c r="F64" s="7" t="s">
        <v>4</v>
      </c>
      <c r="G64" s="1">
        <v>8448</v>
      </c>
      <c r="H64" s="1">
        <v>42</v>
      </c>
      <c r="I64" s="1">
        <v>117.79</v>
      </c>
    </row>
    <row r="65" spans="1:9" x14ac:dyDescent="0.25">
      <c r="A65" s="6" t="s">
        <v>5</v>
      </c>
      <c r="B65" s="1">
        <v>7064</v>
      </c>
      <c r="C65" s="1">
        <v>30</v>
      </c>
      <c r="D65" s="1">
        <v>54.77</v>
      </c>
      <c r="F65" s="7" t="s">
        <v>4</v>
      </c>
      <c r="G65" s="1">
        <v>8448</v>
      </c>
      <c r="H65" s="1">
        <v>42</v>
      </c>
      <c r="I65" s="1">
        <v>117.64</v>
      </c>
    </row>
    <row r="66" spans="1:9" x14ac:dyDescent="0.25">
      <c r="A66" s="6" t="s">
        <v>5</v>
      </c>
      <c r="B66" s="1">
        <v>7064</v>
      </c>
      <c r="C66" s="1">
        <v>30</v>
      </c>
      <c r="D66" s="1">
        <v>54.82</v>
      </c>
      <c r="F66" s="7" t="s">
        <v>4</v>
      </c>
      <c r="G66" s="1">
        <v>8448</v>
      </c>
      <c r="H66" s="1">
        <v>42</v>
      </c>
      <c r="I66" s="1">
        <v>118.17</v>
      </c>
    </row>
    <row r="67" spans="1:9" x14ac:dyDescent="0.25">
      <c r="A67" s="6" t="s">
        <v>5</v>
      </c>
      <c r="B67" s="1">
        <v>7064</v>
      </c>
      <c r="C67" s="1">
        <v>30</v>
      </c>
      <c r="D67" s="1">
        <v>54.86</v>
      </c>
      <c r="F67" s="7" t="s">
        <v>4</v>
      </c>
      <c r="G67" s="1">
        <v>8448</v>
      </c>
      <c r="H67" s="1">
        <v>43</v>
      </c>
      <c r="I67" s="1">
        <v>118.22</v>
      </c>
    </row>
    <row r="68" spans="1:9" x14ac:dyDescent="0.25">
      <c r="A68" s="6" t="s">
        <v>5</v>
      </c>
      <c r="B68" s="1">
        <v>7064</v>
      </c>
      <c r="C68" s="1">
        <v>31</v>
      </c>
      <c r="D68" s="1">
        <v>55.11</v>
      </c>
      <c r="F68" s="7" t="s">
        <v>4</v>
      </c>
      <c r="G68" s="1">
        <v>8448</v>
      </c>
      <c r="H68" s="1">
        <v>43</v>
      </c>
      <c r="I68" s="1">
        <v>118.44</v>
      </c>
    </row>
    <row r="69" spans="1:9" x14ac:dyDescent="0.25">
      <c r="A69" s="6" t="s">
        <v>5</v>
      </c>
      <c r="B69" s="1">
        <v>7064</v>
      </c>
      <c r="C69" s="1">
        <v>31</v>
      </c>
      <c r="D69" s="1">
        <v>55.01</v>
      </c>
      <c r="F69" s="7" t="s">
        <v>4</v>
      </c>
      <c r="G69" s="1">
        <v>8448</v>
      </c>
      <c r="H69" s="1">
        <v>43</v>
      </c>
      <c r="I69" s="1">
        <v>118.31</v>
      </c>
    </row>
    <row r="70" spans="1:9" x14ac:dyDescent="0.25">
      <c r="A70" s="6" t="s">
        <v>5</v>
      </c>
      <c r="B70" s="1">
        <v>7064</v>
      </c>
      <c r="C70" s="1">
        <v>31</v>
      </c>
      <c r="D70" s="1">
        <v>55.18</v>
      </c>
      <c r="F70" s="7" t="s">
        <v>4</v>
      </c>
      <c r="G70" s="1">
        <v>8448</v>
      </c>
      <c r="H70" s="1">
        <v>44</v>
      </c>
      <c r="I70" s="1">
        <v>118.73</v>
      </c>
    </row>
    <row r="71" spans="1:9" x14ac:dyDescent="0.25">
      <c r="A71" s="6" t="s">
        <v>5</v>
      </c>
      <c r="B71" s="1">
        <v>7064</v>
      </c>
      <c r="C71" s="1">
        <v>31</v>
      </c>
      <c r="D71" s="1">
        <v>55.43</v>
      </c>
      <c r="F71" s="7" t="s">
        <v>4</v>
      </c>
      <c r="G71" s="1">
        <v>8448</v>
      </c>
      <c r="H71" s="1">
        <v>44</v>
      </c>
      <c r="I71" s="1">
        <v>118.5</v>
      </c>
    </row>
    <row r="72" spans="1:9" x14ac:dyDescent="0.25">
      <c r="A72" s="6" t="s">
        <v>5</v>
      </c>
      <c r="B72" s="1">
        <v>7064</v>
      </c>
      <c r="C72" s="1">
        <v>31</v>
      </c>
      <c r="D72" s="1">
        <v>55.22</v>
      </c>
      <c r="F72" s="7" t="s">
        <v>4</v>
      </c>
      <c r="G72" s="1">
        <v>8448</v>
      </c>
      <c r="H72" s="1">
        <v>44</v>
      </c>
      <c r="I72" s="1">
        <v>118.27</v>
      </c>
    </row>
    <row r="73" spans="1:9" x14ac:dyDescent="0.25">
      <c r="A73" s="6" t="s">
        <v>5</v>
      </c>
      <c r="B73" s="1">
        <v>7064</v>
      </c>
      <c r="C73" s="1">
        <v>31</v>
      </c>
      <c r="D73" s="1">
        <v>55.24</v>
      </c>
      <c r="F73" s="7" t="s">
        <v>4</v>
      </c>
      <c r="G73" s="1">
        <v>8448</v>
      </c>
      <c r="H73" s="1">
        <v>44</v>
      </c>
      <c r="I73" s="1">
        <v>117.68</v>
      </c>
    </row>
    <row r="74" spans="1:9" x14ac:dyDescent="0.25">
      <c r="A74" s="6" t="s">
        <v>5</v>
      </c>
      <c r="B74" s="1">
        <v>7064</v>
      </c>
      <c r="C74" s="1">
        <v>30</v>
      </c>
      <c r="D74" s="1">
        <v>43.37</v>
      </c>
      <c r="F74" s="7" t="s">
        <v>4</v>
      </c>
      <c r="G74" s="1">
        <v>8448</v>
      </c>
      <c r="H74" s="1">
        <v>39</v>
      </c>
      <c r="I74" s="1">
        <v>71.88</v>
      </c>
    </row>
    <row r="75" spans="1:9" x14ac:dyDescent="0.25">
      <c r="A75" s="11" t="s">
        <v>9</v>
      </c>
      <c r="B75" s="1">
        <f>AVERAGE(B57:B74)</f>
        <v>7064</v>
      </c>
      <c r="C75" s="1">
        <f>AVERAGE(C57:C74)</f>
        <v>29.666666666666668</v>
      </c>
      <c r="D75" s="1">
        <f>AVERAGE(D57:D74)</f>
        <v>49.347222222222214</v>
      </c>
      <c r="F75" s="12" t="s">
        <v>9</v>
      </c>
      <c r="G75" s="1">
        <f>AVERAGE(G57:G74)</f>
        <v>8448</v>
      </c>
      <c r="H75" s="1">
        <f>AVERAGE(H57:H74)</f>
        <v>40.555555555555557</v>
      </c>
      <c r="I75" s="1">
        <f>AVERAGE(I57:I74)</f>
        <v>96.74166666666666</v>
      </c>
    </row>
    <row r="105" spans="1:9" x14ac:dyDescent="0.25">
      <c r="A105" s="2" t="s">
        <v>8</v>
      </c>
      <c r="B105" s="17"/>
      <c r="C105" s="17"/>
      <c r="D105" s="17"/>
    </row>
    <row r="106" spans="1:9" x14ac:dyDescent="0.25">
      <c r="A106" s="2" t="s">
        <v>0</v>
      </c>
      <c r="B106" s="2" t="s">
        <v>1</v>
      </c>
      <c r="C106" s="2" t="s">
        <v>2</v>
      </c>
      <c r="D106" s="2" t="s">
        <v>3</v>
      </c>
      <c r="F106" s="2" t="s">
        <v>0</v>
      </c>
      <c r="G106" s="2" t="s">
        <v>1</v>
      </c>
      <c r="H106" s="2" t="s">
        <v>2</v>
      </c>
      <c r="I106" s="2" t="s">
        <v>3</v>
      </c>
    </row>
    <row r="107" spans="1:9" x14ac:dyDescent="0.25">
      <c r="A107" s="6" t="s">
        <v>5</v>
      </c>
      <c r="B107" s="1">
        <v>7064</v>
      </c>
      <c r="C107" s="1">
        <v>27</v>
      </c>
      <c r="D107" s="1">
        <v>14.19</v>
      </c>
      <c r="F107" s="7" t="s">
        <v>4</v>
      </c>
      <c r="G107" s="1">
        <v>8448</v>
      </c>
      <c r="H107" s="1">
        <v>35</v>
      </c>
      <c r="I107" s="1">
        <v>21.74</v>
      </c>
    </row>
    <row r="108" spans="1:9" x14ac:dyDescent="0.25">
      <c r="A108" s="6" t="s">
        <v>5</v>
      </c>
      <c r="B108" s="1">
        <v>7064</v>
      </c>
      <c r="C108" s="1">
        <v>28</v>
      </c>
      <c r="D108" s="1">
        <v>14.26</v>
      </c>
      <c r="F108" s="7" t="s">
        <v>4</v>
      </c>
      <c r="G108" s="1">
        <v>8448</v>
      </c>
      <c r="H108" s="1">
        <v>36</v>
      </c>
      <c r="I108" s="1">
        <v>22.03</v>
      </c>
    </row>
    <row r="109" spans="1:9" x14ac:dyDescent="0.25">
      <c r="A109" s="6" t="s">
        <v>5</v>
      </c>
      <c r="B109" s="1">
        <v>7064</v>
      </c>
      <c r="C109" s="1">
        <v>30</v>
      </c>
      <c r="D109" s="1">
        <v>38.93</v>
      </c>
      <c r="F109" s="7" t="s">
        <v>4</v>
      </c>
      <c r="G109" s="1">
        <v>8448</v>
      </c>
      <c r="H109" s="1">
        <v>39</v>
      </c>
      <c r="I109" s="1">
        <v>69.099999999999994</v>
      </c>
    </row>
    <row r="110" spans="1:9" x14ac:dyDescent="0.25">
      <c r="A110" s="6" t="s">
        <v>5</v>
      </c>
      <c r="B110" s="1">
        <v>7064</v>
      </c>
      <c r="C110" s="1">
        <v>31</v>
      </c>
      <c r="D110" s="1">
        <v>70.349999999999994</v>
      </c>
      <c r="F110" s="7" t="s">
        <v>4</v>
      </c>
      <c r="G110" s="1">
        <v>8448</v>
      </c>
      <c r="H110" s="1">
        <v>43</v>
      </c>
      <c r="I110" s="1">
        <v>115.06</v>
      </c>
    </row>
    <row r="111" spans="1:9" x14ac:dyDescent="0.25">
      <c r="A111" s="6" t="s">
        <v>5</v>
      </c>
      <c r="B111" s="1">
        <v>7064</v>
      </c>
      <c r="C111" s="1">
        <v>31</v>
      </c>
      <c r="D111" s="1">
        <v>67.75</v>
      </c>
      <c r="F111" s="7" t="s">
        <v>4</v>
      </c>
      <c r="G111" s="1">
        <v>8448</v>
      </c>
      <c r="H111" s="1">
        <v>43</v>
      </c>
      <c r="I111" s="1">
        <v>118.6</v>
      </c>
    </row>
    <row r="112" spans="1:9" x14ac:dyDescent="0.25">
      <c r="A112" s="6" t="s">
        <v>5</v>
      </c>
      <c r="B112" s="1">
        <v>7064</v>
      </c>
      <c r="C112" s="1">
        <v>31</v>
      </c>
      <c r="D112" s="1">
        <v>55</v>
      </c>
      <c r="F112" s="7" t="s">
        <v>4</v>
      </c>
      <c r="G112" s="1">
        <v>8448</v>
      </c>
      <c r="H112" s="1">
        <v>44</v>
      </c>
      <c r="I112" s="1">
        <v>117.5</v>
      </c>
    </row>
    <row r="113" spans="1:9" x14ac:dyDescent="0.25">
      <c r="A113" s="6" t="s">
        <v>5</v>
      </c>
      <c r="B113" s="1">
        <v>7064</v>
      </c>
      <c r="C113" s="1">
        <v>31</v>
      </c>
      <c r="D113" s="1">
        <v>54.96</v>
      </c>
      <c r="F113" s="7" t="s">
        <v>4</v>
      </c>
      <c r="G113" s="1">
        <v>8448</v>
      </c>
      <c r="H113" s="1">
        <v>44</v>
      </c>
      <c r="I113" s="1">
        <v>117.78</v>
      </c>
    </row>
    <row r="114" spans="1:9" x14ac:dyDescent="0.25">
      <c r="A114" s="6" t="s">
        <v>5</v>
      </c>
      <c r="B114" s="1">
        <v>7064</v>
      </c>
      <c r="C114" s="1">
        <v>31</v>
      </c>
      <c r="D114" s="1">
        <v>55.15</v>
      </c>
      <c r="F114" s="7" t="s">
        <v>4</v>
      </c>
      <c r="G114" s="1">
        <v>8448</v>
      </c>
      <c r="H114" s="1">
        <v>44</v>
      </c>
      <c r="I114" s="1">
        <v>117.96</v>
      </c>
    </row>
    <row r="115" spans="1:9" x14ac:dyDescent="0.25">
      <c r="A115" s="6" t="s">
        <v>5</v>
      </c>
      <c r="B115" s="1">
        <v>7064</v>
      </c>
      <c r="C115" s="1">
        <v>31</v>
      </c>
      <c r="D115" s="1">
        <v>55.19</v>
      </c>
      <c r="F115" s="7" t="s">
        <v>4</v>
      </c>
      <c r="G115" s="1">
        <v>8448</v>
      </c>
      <c r="H115" s="1">
        <v>45</v>
      </c>
      <c r="I115" s="1">
        <v>117.8</v>
      </c>
    </row>
    <row r="116" spans="1:9" x14ac:dyDescent="0.25">
      <c r="A116" s="6" t="s">
        <v>5</v>
      </c>
      <c r="B116" s="1">
        <v>7064</v>
      </c>
      <c r="C116" s="1">
        <v>31</v>
      </c>
      <c r="D116" s="1">
        <v>55.18</v>
      </c>
      <c r="F116" s="7" t="s">
        <v>4</v>
      </c>
      <c r="G116" s="1">
        <v>8448</v>
      </c>
      <c r="H116" s="1">
        <v>45</v>
      </c>
      <c r="I116" s="1">
        <v>118.11</v>
      </c>
    </row>
    <row r="117" spans="1:9" x14ac:dyDescent="0.25">
      <c r="A117" s="6" t="s">
        <v>5</v>
      </c>
      <c r="B117" s="1">
        <v>7064</v>
      </c>
      <c r="C117" s="1">
        <v>31</v>
      </c>
      <c r="D117" s="1">
        <v>55.26</v>
      </c>
      <c r="F117" s="7" t="s">
        <v>4</v>
      </c>
      <c r="G117" s="1">
        <v>8448</v>
      </c>
      <c r="H117" s="1">
        <v>45</v>
      </c>
      <c r="I117" s="1">
        <v>118.25</v>
      </c>
    </row>
    <row r="118" spans="1:9" x14ac:dyDescent="0.25">
      <c r="A118" s="6" t="s">
        <v>5</v>
      </c>
      <c r="B118" s="1">
        <v>7064</v>
      </c>
      <c r="C118" s="1">
        <v>31</v>
      </c>
      <c r="D118" s="1">
        <v>55.28</v>
      </c>
      <c r="F118" s="7" t="s">
        <v>4</v>
      </c>
      <c r="G118" s="1">
        <v>8448</v>
      </c>
      <c r="H118" s="1">
        <v>45</v>
      </c>
      <c r="I118" s="1">
        <v>118.28</v>
      </c>
    </row>
    <row r="119" spans="1:9" x14ac:dyDescent="0.25">
      <c r="A119" s="6" t="s">
        <v>5</v>
      </c>
      <c r="B119" s="1">
        <v>7064</v>
      </c>
      <c r="C119" s="1">
        <v>32</v>
      </c>
      <c r="D119" s="1">
        <v>55.12</v>
      </c>
      <c r="F119" s="7" t="s">
        <v>4</v>
      </c>
      <c r="G119" s="1">
        <v>8448</v>
      </c>
      <c r="H119" s="1">
        <v>46</v>
      </c>
      <c r="I119" s="1">
        <v>118.16</v>
      </c>
    </row>
    <row r="120" spans="1:9" x14ac:dyDescent="0.25">
      <c r="A120" s="6" t="s">
        <v>5</v>
      </c>
      <c r="B120" s="1">
        <v>7064</v>
      </c>
      <c r="C120" s="1">
        <v>32</v>
      </c>
      <c r="D120" s="1">
        <v>55.13</v>
      </c>
      <c r="F120" s="7" t="s">
        <v>4</v>
      </c>
      <c r="G120" s="1">
        <v>8448</v>
      </c>
      <c r="H120" s="1">
        <v>46</v>
      </c>
      <c r="I120" s="1">
        <v>118.42</v>
      </c>
    </row>
    <row r="121" spans="1:9" x14ac:dyDescent="0.25">
      <c r="A121" s="6" t="s">
        <v>5</v>
      </c>
      <c r="B121" s="1">
        <v>7064</v>
      </c>
      <c r="C121" s="1">
        <v>31</v>
      </c>
      <c r="D121" s="1">
        <v>51.14</v>
      </c>
      <c r="F121" s="7" t="s">
        <v>4</v>
      </c>
      <c r="G121" s="1">
        <v>8448</v>
      </c>
      <c r="H121" s="1">
        <v>42</v>
      </c>
      <c r="I121" s="1">
        <v>101.15</v>
      </c>
    </row>
    <row r="122" spans="1:9" x14ac:dyDescent="0.25">
      <c r="A122" s="6" t="s">
        <v>5</v>
      </c>
      <c r="B122" s="1">
        <v>7064</v>
      </c>
      <c r="C122" s="1">
        <v>31</v>
      </c>
      <c r="D122" s="1">
        <v>39.72</v>
      </c>
      <c r="F122" s="7" t="s">
        <v>4</v>
      </c>
      <c r="G122" s="1">
        <v>8448</v>
      </c>
      <c r="H122" s="1">
        <v>41</v>
      </c>
      <c r="I122" s="1">
        <v>59.6</v>
      </c>
    </row>
    <row r="123" spans="1:9" x14ac:dyDescent="0.25">
      <c r="A123" s="6" t="s">
        <v>5</v>
      </c>
      <c r="B123" s="1">
        <v>7064</v>
      </c>
      <c r="C123" s="1">
        <v>31</v>
      </c>
      <c r="D123" s="1">
        <v>37.17</v>
      </c>
      <c r="F123" s="7" t="s">
        <v>4</v>
      </c>
      <c r="G123" s="1">
        <v>8448</v>
      </c>
      <c r="H123" s="1">
        <v>40</v>
      </c>
      <c r="I123" s="1">
        <v>51.3</v>
      </c>
    </row>
    <row r="124" spans="1:9" x14ac:dyDescent="0.25">
      <c r="A124" s="6" t="s">
        <v>5</v>
      </c>
      <c r="B124" s="1">
        <v>7064</v>
      </c>
      <c r="C124" s="1">
        <v>31</v>
      </c>
      <c r="D124" s="1">
        <v>37.24</v>
      </c>
      <c r="F124" s="7" t="s">
        <v>4</v>
      </c>
      <c r="G124" s="1">
        <v>8448</v>
      </c>
      <c r="H124" s="1">
        <v>40</v>
      </c>
      <c r="I124" s="1">
        <v>48.31</v>
      </c>
    </row>
    <row r="125" spans="1:9" x14ac:dyDescent="0.25">
      <c r="A125" s="6" t="s">
        <v>5</v>
      </c>
      <c r="B125" s="1">
        <v>7064</v>
      </c>
      <c r="C125" s="1">
        <v>31</v>
      </c>
      <c r="D125" s="1">
        <v>37.380000000000003</v>
      </c>
      <c r="F125" s="7" t="s">
        <v>4</v>
      </c>
      <c r="G125" s="1">
        <v>8448</v>
      </c>
      <c r="H125" s="1">
        <v>40</v>
      </c>
      <c r="I125" s="1">
        <v>45.28</v>
      </c>
    </row>
    <row r="126" spans="1:9" x14ac:dyDescent="0.25">
      <c r="A126" s="11" t="s">
        <v>9</v>
      </c>
      <c r="B126" s="1">
        <f>AVERAGE(B107:B125)</f>
        <v>7064</v>
      </c>
      <c r="C126" s="1">
        <f>AVERAGE(C107:C125)</f>
        <v>30.684210526315791</v>
      </c>
      <c r="D126" s="1">
        <f>AVERAGE(D107:D125)</f>
        <v>47.6</v>
      </c>
      <c r="F126" s="12" t="s">
        <v>9</v>
      </c>
      <c r="G126" s="1">
        <f>AVERAGE(G107:G125)</f>
        <v>8448</v>
      </c>
      <c r="H126" s="1">
        <f>AVERAGE(H107:H125)</f>
        <v>42.263157894736842</v>
      </c>
      <c r="I126" s="1">
        <f>AVERAGE(I107:I125)</f>
        <v>90.233157894736834</v>
      </c>
    </row>
    <row r="130" spans="1:9" x14ac:dyDescent="0.25">
      <c r="A130" s="2" t="s">
        <v>0</v>
      </c>
      <c r="B130" s="2" t="s">
        <v>1</v>
      </c>
      <c r="C130" s="2" t="s">
        <v>2</v>
      </c>
      <c r="D130" s="2" t="s">
        <v>3</v>
      </c>
      <c r="F130" s="2" t="s">
        <v>0</v>
      </c>
      <c r="G130" s="2" t="s">
        <v>1</v>
      </c>
      <c r="H130" s="2" t="s">
        <v>2</v>
      </c>
      <c r="I130" s="2" t="s">
        <v>3</v>
      </c>
    </row>
    <row r="131" spans="1:9" x14ac:dyDescent="0.25">
      <c r="A131" s="13" t="s">
        <v>6</v>
      </c>
      <c r="B131" s="1">
        <f>AVERAGE(B117:B130)</f>
        <v>7064</v>
      </c>
      <c r="C131" s="1">
        <f>AVERAGE(C4:C17)</f>
        <v>29.714285714285715</v>
      </c>
      <c r="D131" s="1">
        <f>AVERAGE(D4:D17)</f>
        <v>54.492857142857147</v>
      </c>
      <c r="F131" s="13" t="s">
        <v>6</v>
      </c>
      <c r="G131" s="1">
        <f>AVERAGE(G117:G130)</f>
        <v>8448</v>
      </c>
      <c r="H131" s="1">
        <f>AVERAGE(H4:H17)</f>
        <v>40.285714285714285</v>
      </c>
      <c r="I131" s="1">
        <f>AVERAGE(I4:I17)</f>
        <v>106.53999999999999</v>
      </c>
    </row>
    <row r="132" spans="1:9" x14ac:dyDescent="0.25">
      <c r="A132" s="10" t="s">
        <v>7</v>
      </c>
      <c r="B132" s="1">
        <f>AVERAGE(B118:B131)</f>
        <v>7064</v>
      </c>
      <c r="C132" s="1">
        <f>AVERAGE(C57:C74)</f>
        <v>29.666666666666668</v>
      </c>
      <c r="D132" s="1">
        <f>AVERAGE(D57:D74)</f>
        <v>49.347222222222214</v>
      </c>
      <c r="F132" s="10" t="s">
        <v>7</v>
      </c>
      <c r="G132" s="1">
        <f>AVERAGE(G118:G131)</f>
        <v>8448</v>
      </c>
      <c r="H132" s="1">
        <f>AVERAGE(H57:H74)</f>
        <v>40.555555555555557</v>
      </c>
      <c r="I132" s="1">
        <f>AVERAGE(I57:I74)</f>
        <v>96.74166666666666</v>
      </c>
    </row>
    <row r="133" spans="1:9" x14ac:dyDescent="0.25">
      <c r="A133" s="10" t="s">
        <v>8</v>
      </c>
      <c r="B133" s="1">
        <f>AVERAGE(B119:B132)</f>
        <v>7064</v>
      </c>
      <c r="C133" s="1">
        <f>AVERAGE(C107:C125)</f>
        <v>30.684210526315791</v>
      </c>
      <c r="D133" s="1">
        <f>AVERAGE(D107:D125)</f>
        <v>47.6</v>
      </c>
      <c r="F133" s="10" t="s">
        <v>8</v>
      </c>
      <c r="G133" s="1">
        <f>AVERAGE(G119:G132)</f>
        <v>8448</v>
      </c>
      <c r="H133" s="1">
        <f>AVERAGE(H107:H125)</f>
        <v>42.263157894736842</v>
      </c>
      <c r="I133" s="1">
        <f>AVERAGE(I107:I125)</f>
        <v>90.233157894736834</v>
      </c>
    </row>
    <row r="134" spans="1:9" x14ac:dyDescent="0.25">
      <c r="A134" s="2" t="s">
        <v>9</v>
      </c>
      <c r="B134" s="14">
        <f>AVERAGE(B131:B133)</f>
        <v>7064</v>
      </c>
      <c r="C134" s="14">
        <f>AVERAGE(C131:C133)</f>
        <v>30.02172096908939</v>
      </c>
      <c r="D134" s="14">
        <f>AVERAGE(D131:D133)</f>
        <v>50.480026455026454</v>
      </c>
      <c r="E134" s="15"/>
      <c r="F134" s="16" t="s">
        <v>9</v>
      </c>
      <c r="G134" s="14">
        <f>AVERAGE(G131:G133)</f>
        <v>8448</v>
      </c>
      <c r="H134" s="14">
        <f>AVERAGE(H131:H133)</f>
        <v>41.034809245335566</v>
      </c>
      <c r="I134" s="14">
        <f>AVERAGE(I131:I133)</f>
        <v>97.838274853801167</v>
      </c>
    </row>
  </sheetData>
  <sortState xmlns:xlrd2="http://schemas.microsoft.com/office/spreadsheetml/2017/richdata2" ref="A76:D113">
    <sortCondition descending="1" ref="A76:A113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ninemost_EIGHT_1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</dc:creator>
  <cp:lastModifiedBy>sam davies</cp:lastModifiedBy>
  <dcterms:created xsi:type="dcterms:W3CDTF">2026-10-10T01:45:56Z</dcterms:created>
  <dcterms:modified xsi:type="dcterms:W3CDTF">2026-10-17T01:52:59Z</dcterms:modified>
</cp:coreProperties>
</file>