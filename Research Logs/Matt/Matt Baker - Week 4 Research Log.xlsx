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RecoveryAdmin\Documents\BHB-Capstone\Research Logs\Matt\"/>
    </mc:Choice>
  </mc:AlternateContent>
  <xr:revisionPtr revIDLastSave="0" documentId="13_ncr:1_{29026C30-0461-46F7-9D3E-B375327BDCFC}" xr6:coauthVersionLast="47" xr6:coauthVersionMax="47" xr10:uidLastSave="{00000000-0000-0000-0000-000000000000}"/>
  <bookViews>
    <workbookView xWindow="2625" yWindow="1605" windowWidth="31305" windowHeight="16095" xr2:uid="{00000000-000D-0000-FFFF-FFFF00000000}"/>
  </bookViews>
  <sheets>
    <sheet name="Research 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alcChain>
</file>

<file path=xl/sharedStrings.xml><?xml version="1.0" encoding="utf-8"?>
<sst xmlns="http://schemas.openxmlformats.org/spreadsheetml/2006/main" count="46" uniqueCount="39">
  <si>
    <t>Date</t>
  </si>
  <si>
    <t>Approximate time taken</t>
  </si>
  <si>
    <t>Problem to solve</t>
  </si>
  <si>
    <t>Total Time Hours</t>
  </si>
  <si>
    <t>Total Time Minutes</t>
  </si>
  <si>
    <t>Classification</t>
  </si>
  <si>
    <t>Resource used</t>
  </si>
  <si>
    <t>Summary/Effectiveness?</t>
  </si>
  <si>
    <r>
      <t xml:space="preserve">Do </t>
    </r>
    <r>
      <rPr>
        <b/>
        <sz val="11"/>
        <color theme="1"/>
        <rFont val="Calibri"/>
        <family val="2"/>
        <scheme val="minor"/>
      </rPr>
      <t>not</t>
    </r>
    <r>
      <rPr>
        <sz val="11"/>
        <color theme="1"/>
        <rFont val="Calibri"/>
        <family val="2"/>
        <scheme val="minor"/>
      </rPr>
      <t xml:space="preserve"> edit D2 and D3 as they are automatic calculations</t>
    </r>
  </si>
  <si>
    <t>Watching</t>
  </si>
  <si>
    <t>Finding Existing AI Digital Forensics Tools/Methods for Integrating AI into Forensic Investigations</t>
  </si>
  <si>
    <t>Learned of some of the metrics we can use to measure the
efficacy of our tools, how the Belkasoft AI forensics product configures the workstation and compute. Unfortunately that specific product does require payment.</t>
  </si>
  <si>
    <t>Searching</t>
  </si>
  <si>
    <t>Consolidating a list of existing AI DFIR tools for testing purposes, mostly looking at free ones</t>
  </si>
  <si>
    <t>Reading</t>
  </si>
  <si>
    <t>Discovered multiple tools for further analysis</t>
  </si>
  <si>
    <t>https://github.com/arazazi/unfold</t>
  </si>
  <si>
    <t>Webinar by the AI forensics tool distributor, Belkasoft https://www.youtube.com/watch?v=uW3jXvwBq1Q</t>
  </si>
  <si>
    <t>Learning about the "Valhuntir" DFIR tool</t>
  </si>
  <si>
    <t>Learning of the nature of the "Unfold" forensics tool with AI features</t>
  </si>
  <si>
    <t>Free tool for disk and memory forensics, linux support, volatility 3 for memory forensics, and openai (external) based natural language analysis.</t>
  </si>
  <si>
    <t>https://github.com/AppliedIR/Valhuntir</t>
  </si>
  <si>
    <t>This free solution explicitly mentions the capacity to employ a diverse range of locally installed AI clients. Supports a traditional DFIR workflow, employs sources of evidence we are familiar with (Volatility, Suricata, eventlogs). The solution runs on a private forensic network.</t>
  </si>
  <si>
    <t>Google, GitHub</t>
  </si>
  <si>
    <t>Learning about the "Unearth" forensics platform</t>
  </si>
  <si>
    <t>https://github.com/bhargavgajare1479/Unearth</t>
  </si>
  <si>
    <t>Unique investigative platform with its own AI agent that conducts file carving, metadata extraction, automatic hashing, and creates a timeline of events based on the forensic evidence. Includes unique features that may reveal otherwise undetectable insights such as AI generated content detection, automatic false-context/false-claim detection based on existing environmental &amp; open source information.</t>
  </si>
  <si>
    <t>Find metrics and processes by which tool testing has been undertaken by other organizations</t>
  </si>
  <si>
    <t>NIST'S Computer Forensics Tools and Techniques Catalog:
https://toolcatalog.nist.gov/search/index.php</t>
  </si>
  <si>
    <t>I was specifically looking for tools with available test reports, and read some of that documentation</t>
  </si>
  <si>
    <t>https://www.ojp.gov/pdffiles1/nij/238993.pdf</t>
  </si>
  <si>
    <t xml:space="preserve">The U.S DOJ created a report on the mobile digital forensics tool "Cellebrite Physical Analyzer" I read parts of this report, it was particularly informative to see how NIST's CTFF methodology is applied by a government department, gave me a good idea of how we can design our test cases/testing environment and inspired the next stage of my research. </t>
  </si>
  <si>
    <t>https://www.dhs.gov/sites/default/files/2025-08/25_0805_st_test_
results_for_mobile_device_acquisition_tool_belkasoft_evidence_center_x_v2.7.19314.pdf</t>
  </si>
  <si>
    <t>The U.S DHS created a report on Belkasoft Evidence 
Center X which I researched previously, the current version supports natural language data analysis, however the report did not include "agent-based acquisitions". The tables for data objects and data elements are a good inspiration for how to design our test documentation.</t>
  </si>
  <si>
    <t>Listening</t>
  </si>
  <si>
    <t>Find anecdotal perspectives on the state and usefulness of AI in modern digital forensics</t>
  </si>
  <si>
    <t>The AI Investigative Framework Interview with Heather Barnhart
https://open.spotify.com/episode/6Rljo1PtpUiz0N779Muyp0</t>
  </si>
  <si>
    <t>Listened to a podcast where forensic examiner with 24 year's experience Heather Barngarter goes over the philosophy behind a framework for determining where and where not AI has a place in DFIR, the prevailing sentiment is that it does not belong in digital forensics, but could be useful in incident response. AI can be used to "find a thread to pull" or to discover something in a case previously unseen, but the risks are too great due to unvalidatable results, lack of accountability when something goes wrong, the inability to resolve insights that are not there and much more, it is a tool, a tool does not determine guilt, the forensic examiner and investigator does.</t>
  </si>
  <si>
    <t>WEEK 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</si>
</sst>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
  </numFmts>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0" fillId="0" borderId="0" xfId="0" applyAlignment="1">
      <alignment wrapText="1"/>
    </xf>
    <xf numFmtId="0" fontId="2" fillId="0" borderId="0" xfId="1"/>
    <xf numFmtId="164" fontId="0" fillId="0" borderId="0" xfId="0" applyNumberFormat="1" applyAlignment="1">
      <alignment horizontal="right"/>
    </xf>
    <xf numFmtId="164" fontId="0" fillId="0" borderId="0" xfId="0" applyNumberFormat="1" applyAlignment="1">
      <alignment horizontal="left" vertical="top"/>
    </xf>
    <xf numFmtId="0" fontId="0" fillId="2" borderId="0" xfId="0" applyFill="1"/>
    <xf numFmtId="0" fontId="2" fillId="0" borderId="0" xfId="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bhargavgajare1479/Unearth" TargetMode="External"/><Relationship Id="rId2" Type="http://schemas.openxmlformats.org/officeDocument/2006/relationships/hyperlink" Target="https://github.com/AppliedIR/Valhuntir" TargetMode="External"/><Relationship Id="rId1" Type="http://schemas.openxmlformats.org/officeDocument/2006/relationships/hyperlink" Target="https://github.com/arazazi/unfold" TargetMode="External"/><Relationship Id="rId6" Type="http://schemas.openxmlformats.org/officeDocument/2006/relationships/hyperlink" Target="https://www.ojp.gov/pdffiles1/nij/238993.pdf" TargetMode="External"/><Relationship Id="rId5" Type="http://schemas.openxmlformats.org/officeDocument/2006/relationships/hyperlink" Target="https://open.spotify.com/episode/6Rljo1PtpUiz0N779Muyp0" TargetMode="External"/><Relationship Id="rId4" Type="http://schemas.openxmlformats.org/officeDocument/2006/relationships/hyperlink" Target="https://www.dhs.gov/sites/default/files/2025-08/25_0805_st_test_results_for_mobile_device_acquisition_tool_belkasoft_evidence_center_x_v2.7.19314.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17"/>
  <sheetViews>
    <sheetView tabSelected="1" topLeftCell="A10" workbookViewId="0">
      <selection activeCell="F16" sqref="F16"/>
    </sheetView>
  </sheetViews>
  <sheetFormatPr defaultRowHeight="15" x14ac:dyDescent="0.25"/>
  <cols>
    <col min="2" max="2" width="13.140625" style="3" customWidth="1"/>
    <col min="3" max="4" width="23.85546875" customWidth="1"/>
    <col min="5" max="5" width="91.5703125" bestFit="1" customWidth="1"/>
    <col min="6" max="6" width="54.5703125" customWidth="1"/>
    <col min="7" max="7" width="131" customWidth="1"/>
    <col min="8" max="8" width="33.42578125" customWidth="1"/>
  </cols>
  <sheetData>
    <row r="2" spans="2:7" x14ac:dyDescent="0.25">
      <c r="C2" s="5" t="s">
        <v>3</v>
      </c>
      <c r="D2" s="5">
        <f>ROUNDDOWN(SUM(C6:C499)/60,0)</f>
        <v>4</v>
      </c>
      <c r="E2" t="s">
        <v>8</v>
      </c>
    </row>
    <row r="3" spans="2:7" x14ac:dyDescent="0.25">
      <c r="C3" s="5" t="s">
        <v>4</v>
      </c>
      <c r="D3" s="5">
        <f>ROUND(MOD(SUM(C6:C499),60),0)</f>
        <v>45</v>
      </c>
    </row>
    <row r="5" spans="2:7" x14ac:dyDescent="0.25">
      <c r="B5" s="4" t="s">
        <v>0</v>
      </c>
      <c r="C5" t="s">
        <v>1</v>
      </c>
      <c r="D5" t="s">
        <v>5</v>
      </c>
      <c r="E5" t="s">
        <v>2</v>
      </c>
      <c r="F5" t="s">
        <v>7</v>
      </c>
      <c r="G5" t="s">
        <v>6</v>
      </c>
    </row>
    <row r="6" spans="2:7" ht="60" x14ac:dyDescent="0.25">
      <c r="B6" s="3">
        <v>46234</v>
      </c>
      <c r="C6">
        <v>60</v>
      </c>
      <c r="D6" t="s">
        <v>9</v>
      </c>
      <c r="E6" t="s">
        <v>10</v>
      </c>
      <c r="F6" s="1" t="s">
        <v>11</v>
      </c>
      <c r="G6" t="s">
        <v>17</v>
      </c>
    </row>
    <row r="7" spans="2:7" x14ac:dyDescent="0.25">
      <c r="B7" s="3">
        <v>46235</v>
      </c>
      <c r="C7">
        <v>30</v>
      </c>
      <c r="D7" t="s">
        <v>12</v>
      </c>
      <c r="E7" t="s">
        <v>13</v>
      </c>
      <c r="F7" t="s">
        <v>15</v>
      </c>
      <c r="G7" t="s">
        <v>23</v>
      </c>
    </row>
    <row r="8" spans="2:7" ht="45" x14ac:dyDescent="0.25">
      <c r="B8" s="3">
        <v>46235</v>
      </c>
      <c r="C8">
        <v>15</v>
      </c>
      <c r="D8" t="s">
        <v>14</v>
      </c>
      <c r="E8" t="s">
        <v>19</v>
      </c>
      <c r="F8" s="1" t="s">
        <v>20</v>
      </c>
      <c r="G8" s="6" t="s">
        <v>16</v>
      </c>
    </row>
    <row r="9" spans="2:7" ht="90" x14ac:dyDescent="0.25">
      <c r="B9" s="3">
        <v>46235</v>
      </c>
      <c r="C9">
        <v>15</v>
      </c>
      <c r="D9" t="s">
        <v>14</v>
      </c>
      <c r="E9" t="s">
        <v>18</v>
      </c>
      <c r="F9" s="1" t="s">
        <v>22</v>
      </c>
      <c r="G9" s="6" t="s">
        <v>21</v>
      </c>
    </row>
    <row r="10" spans="2:7" ht="120" x14ac:dyDescent="0.25">
      <c r="B10" s="3">
        <v>46235</v>
      </c>
      <c r="C10">
        <v>15</v>
      </c>
      <c r="D10" t="s">
        <v>14</v>
      </c>
      <c r="E10" t="s">
        <v>24</v>
      </c>
      <c r="F10" s="1" t="s">
        <v>26</v>
      </c>
      <c r="G10" s="2" t="s">
        <v>25</v>
      </c>
    </row>
    <row r="12" spans="2:7" x14ac:dyDescent="0.25">
      <c r="B12" s="3" t="s">
        <v>38</v>
      </c>
    </row>
    <row r="13" spans="2:7" ht="30" x14ac:dyDescent="0.25">
      <c r="B13" s="3">
        <v>46239</v>
      </c>
      <c r="C13">
        <v>30</v>
      </c>
      <c r="D13" t="s">
        <v>12</v>
      </c>
      <c r="E13" t="s">
        <v>27</v>
      </c>
      <c r="F13" s="1" t="s">
        <v>29</v>
      </c>
      <c r="G13" s="1" t="s">
        <v>28</v>
      </c>
    </row>
    <row r="14" spans="2:7" ht="105" x14ac:dyDescent="0.25">
      <c r="B14" s="3">
        <v>46239</v>
      </c>
      <c r="C14">
        <v>30</v>
      </c>
      <c r="D14" t="s">
        <v>14</v>
      </c>
      <c r="E14" t="s">
        <v>27</v>
      </c>
      <c r="F14" s="1" t="s">
        <v>31</v>
      </c>
      <c r="G14" s="2" t="s">
        <v>30</v>
      </c>
    </row>
    <row r="15" spans="2:7" ht="90" x14ac:dyDescent="0.25">
      <c r="B15" s="3">
        <v>46239</v>
      </c>
      <c r="C15">
        <v>30</v>
      </c>
      <c r="D15" t="s">
        <v>14</v>
      </c>
      <c r="E15" t="s">
        <v>27</v>
      </c>
      <c r="F15" s="1" t="s">
        <v>33</v>
      </c>
      <c r="G15" s="6" t="s">
        <v>32</v>
      </c>
    </row>
    <row r="16" spans="2:7" ht="195" x14ac:dyDescent="0.25">
      <c r="B16" s="3">
        <v>46239</v>
      </c>
      <c r="C16">
        <v>60</v>
      </c>
      <c r="D16" t="s">
        <v>34</v>
      </c>
      <c r="E16" t="s">
        <v>35</v>
      </c>
      <c r="F16" s="1" t="s">
        <v>37</v>
      </c>
      <c r="G16" s="6" t="s">
        <v>36</v>
      </c>
    </row>
    <row r="17" spans="6:6" x14ac:dyDescent="0.25">
      <c r="F17" s="1"/>
    </row>
  </sheetData>
  <hyperlinks>
    <hyperlink ref="G8" r:id="rId1" xr:uid="{2D576095-DD33-41E2-AE3D-624BFE4181D0}"/>
    <hyperlink ref="G9" r:id="rId2" xr:uid="{4C5458C7-3251-4B50-B993-29D9C5092585}"/>
    <hyperlink ref="G10" r:id="rId3" xr:uid="{37D06B73-17A9-4592-98F1-C038CB44CDA2}"/>
    <hyperlink ref="G15" r:id="rId4" xr:uid="{AAFD389F-5339-488C-8F44-9A3F039DCFDD}"/>
    <hyperlink ref="G16" r:id="rId5" display="https://open.spotify.com/episode/6Rljo1PtpUiz0N779Muyp0" xr:uid="{174DB1DB-772B-43EC-AFB0-0428427A70E8}"/>
    <hyperlink ref="G14" r:id="rId6" xr:uid="{13FFDDB7-34C5-44D7-8D29-9A080650B36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Research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Matt Baker</cp:lastModifiedBy>
  <dcterms:created xsi:type="dcterms:W3CDTF">2015-06-05T18:17:20Z</dcterms:created>
  <dcterms:modified xsi:type="dcterms:W3CDTF">2026-08-10T01:21:51Z</dcterms:modified>
</cp:coreProperties>
</file>